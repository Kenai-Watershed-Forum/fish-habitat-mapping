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9465"/>
  </bookViews>
  <sheets>
    <sheet name="Site summary sheet" sheetId="7" r:id="rId1"/>
    <sheet name="Form1_Site" sheetId="1" r:id="rId2"/>
    <sheet name="Form2_Fish" sheetId="2" r:id="rId3"/>
    <sheet name="Form3_PHab" sheetId="3" r:id="rId4"/>
    <sheet name="Form4-WaterDischarge" sheetId="5" r:id="rId5"/>
    <sheet name="Sheet1" sheetId="8" r:id="rId6"/>
  </sheets>
  <calcPr calcId="125725"/>
</workbook>
</file>

<file path=xl/calcChain.xml><?xml version="1.0" encoding="utf-8"?>
<calcChain xmlns="http://schemas.openxmlformats.org/spreadsheetml/2006/main">
  <c r="F105" i="5"/>
  <c r="F104"/>
  <c r="F103"/>
  <c r="F102"/>
  <c r="F101"/>
  <c r="F100"/>
  <c r="F99"/>
  <c r="F98"/>
  <c r="F97"/>
  <c r="F96"/>
  <c r="F94"/>
  <c r="F95"/>
  <c r="F93"/>
  <c r="F88"/>
  <c r="F87"/>
  <c r="F86"/>
  <c r="F74"/>
  <c r="F73"/>
  <c r="F72"/>
  <c r="F71"/>
  <c r="F70"/>
  <c r="F69"/>
  <c r="F68"/>
  <c r="F67"/>
  <c r="F66"/>
  <c r="F65"/>
  <c r="F85"/>
  <c r="F84"/>
  <c r="F75"/>
  <c r="F76"/>
  <c r="F77"/>
  <c r="F78"/>
  <c r="F79"/>
  <c r="F80"/>
  <c r="F81"/>
  <c r="F82"/>
  <c r="F89"/>
  <c r="F64"/>
  <c r="F63"/>
  <c r="F62"/>
  <c r="F44"/>
  <c r="F43"/>
  <c r="F42"/>
  <c r="F41"/>
  <c r="F40"/>
  <c r="AK132" i="3"/>
  <c r="AK131"/>
  <c r="AK130"/>
  <c r="AK129"/>
  <c r="AK128"/>
  <c r="AK127"/>
  <c r="AK125"/>
  <c r="AK124"/>
  <c r="AJ132"/>
  <c r="AJ131"/>
  <c r="AJ130"/>
  <c r="AJ129"/>
  <c r="AJ128"/>
  <c r="AJ127"/>
  <c r="AJ125"/>
  <c r="AJ124"/>
  <c r="AI124"/>
  <c r="AI125"/>
  <c r="AH133"/>
  <c r="AH132"/>
  <c r="AH131"/>
  <c r="AH130"/>
  <c r="AH129"/>
  <c r="AH128"/>
  <c r="AH127"/>
  <c r="AH126"/>
  <c r="AH125"/>
  <c r="AH124"/>
  <c r="AG133"/>
  <c r="AG132"/>
  <c r="AG131"/>
  <c r="AG130"/>
  <c r="AG129"/>
  <c r="AG128"/>
  <c r="AG127"/>
  <c r="AG126"/>
  <c r="AG125"/>
  <c r="AG124"/>
  <c r="AF133"/>
  <c r="AF131"/>
  <c r="AF130"/>
  <c r="AF126"/>
  <c r="AE133"/>
  <c r="AE132"/>
  <c r="AE130"/>
  <c r="AE129"/>
  <c r="AE126"/>
  <c r="AE125"/>
  <c r="AE124"/>
  <c r="U132"/>
  <c r="U130"/>
  <c r="U129"/>
  <c r="U128"/>
  <c r="U127"/>
  <c r="U126"/>
  <c r="U125"/>
  <c r="U124"/>
  <c r="T132"/>
  <c r="T126"/>
  <c r="T125"/>
  <c r="T124"/>
  <c r="Q132"/>
  <c r="Q130"/>
  <c r="Q129"/>
  <c r="Q128"/>
  <c r="Q127"/>
  <c r="Q126"/>
  <c r="Q125"/>
  <c r="Q124"/>
  <c r="P132"/>
  <c r="P131"/>
  <c r="P130"/>
  <c r="P129"/>
  <c r="P128"/>
  <c r="P127"/>
  <c r="P126"/>
  <c r="P125"/>
  <c r="P124"/>
  <c r="M133"/>
  <c r="M132"/>
  <c r="M131"/>
  <c r="M130"/>
  <c r="M129"/>
  <c r="M128"/>
  <c r="M126"/>
  <c r="M125"/>
  <c r="M124"/>
  <c r="L133"/>
  <c r="L132"/>
  <c r="L131"/>
  <c r="L130"/>
  <c r="L129"/>
  <c r="L128"/>
  <c r="L127"/>
  <c r="L126"/>
  <c r="L125"/>
  <c r="L124"/>
  <c r="I132"/>
  <c r="I131"/>
  <c r="I130"/>
  <c r="I129"/>
  <c r="I128"/>
  <c r="I127"/>
  <c r="I126"/>
  <c r="I125"/>
  <c r="I124"/>
  <c r="H132"/>
  <c r="H131"/>
  <c r="H130"/>
  <c r="H129"/>
  <c r="H128"/>
  <c r="H127"/>
  <c r="H126"/>
  <c r="H125"/>
  <c r="H124"/>
  <c r="G132"/>
  <c r="G131"/>
  <c r="G130"/>
  <c r="G129"/>
  <c r="G128"/>
  <c r="G127"/>
  <c r="G126"/>
  <c r="G125"/>
  <c r="G124"/>
  <c r="E131"/>
  <c r="E130"/>
  <c r="E129"/>
  <c r="E128"/>
  <c r="E127"/>
  <c r="E126"/>
  <c r="E125"/>
  <c r="E124"/>
  <c r="D133"/>
  <c r="D131"/>
  <c r="D130"/>
  <c r="D129"/>
  <c r="D128"/>
  <c r="D127"/>
  <c r="D126"/>
  <c r="D125"/>
  <c r="D124"/>
  <c r="E121"/>
  <c r="AT120"/>
  <c r="AT119"/>
  <c r="AS120"/>
  <c r="AR120"/>
  <c r="AR119"/>
  <c r="AS119"/>
  <c r="AK120"/>
  <c r="AK119"/>
  <c r="AK118"/>
  <c r="AJ120"/>
  <c r="AJ119"/>
  <c r="AJ118"/>
  <c r="AI120"/>
  <c r="AI119"/>
  <c r="AI118"/>
  <c r="AH121"/>
  <c r="AH120"/>
  <c r="AH119"/>
  <c r="AG120"/>
  <c r="AG119"/>
  <c r="AG118"/>
  <c r="AF118"/>
  <c r="AE120"/>
  <c r="AE119"/>
  <c r="AE118"/>
  <c r="AE117"/>
  <c r="U120"/>
  <c r="U119"/>
  <c r="W120"/>
  <c r="W119"/>
  <c r="W118"/>
  <c r="U118"/>
  <c r="T120"/>
  <c r="T119"/>
  <c r="T118"/>
  <c r="Q120"/>
  <c r="Q119"/>
  <c r="Q118"/>
  <c r="E117"/>
  <c r="P117"/>
  <c r="H117"/>
  <c r="I117"/>
  <c r="P121"/>
  <c r="L121"/>
  <c r="P120"/>
  <c r="P119"/>
  <c r="P118"/>
  <c r="M121"/>
  <c r="M120"/>
  <c r="M119"/>
  <c r="M118"/>
  <c r="M117"/>
  <c r="L120"/>
  <c r="L119"/>
  <c r="L118"/>
  <c r="L117"/>
  <c r="I121"/>
  <c r="I120"/>
  <c r="I119"/>
  <c r="I118"/>
  <c r="H121"/>
  <c r="H120"/>
  <c r="H119"/>
  <c r="H118"/>
  <c r="E120"/>
  <c r="E119"/>
  <c r="E118"/>
  <c r="D121"/>
  <c r="D120"/>
  <c r="D119"/>
  <c r="D118"/>
  <c r="AT123"/>
  <c r="AS123"/>
  <c r="AR123"/>
  <c r="AT122"/>
  <c r="AS122"/>
  <c r="AR122"/>
  <c r="AT121"/>
  <c r="AS121"/>
  <c r="AR121"/>
  <c r="AK121"/>
  <c r="AJ121"/>
  <c r="Q121"/>
  <c r="AH88"/>
  <c r="AG88"/>
  <c r="AE88"/>
  <c r="Q88"/>
  <c r="P88"/>
  <c r="M88"/>
  <c r="L88"/>
  <c r="I88"/>
  <c r="H88"/>
  <c r="AT87"/>
  <c r="AS87"/>
  <c r="AR87"/>
  <c r="AK87"/>
  <c r="AJ87"/>
  <c r="AH87"/>
  <c r="AG87"/>
  <c r="AF87"/>
  <c r="T87"/>
  <c r="Q87"/>
  <c r="P87"/>
  <c r="M87"/>
  <c r="L87"/>
  <c r="I87"/>
  <c r="H87"/>
  <c r="E87"/>
  <c r="AT86"/>
  <c r="AS86"/>
  <c r="AR86"/>
  <c r="AK86"/>
  <c r="AJ86"/>
  <c r="AH86"/>
  <c r="AG86"/>
  <c r="AF86"/>
  <c r="AE86"/>
  <c r="P86"/>
  <c r="L86"/>
  <c r="I86"/>
  <c r="H86"/>
  <c r="AT85"/>
  <c r="AS85"/>
  <c r="AR85"/>
  <c r="AT84"/>
  <c r="AS84"/>
  <c r="AR84"/>
  <c r="AK84"/>
  <c r="AJ84"/>
  <c r="AH84"/>
  <c r="AG84"/>
  <c r="AE84"/>
  <c r="U84"/>
  <c r="T84"/>
  <c r="Q84"/>
  <c r="P84"/>
  <c r="M84"/>
  <c r="L84"/>
  <c r="I84"/>
  <c r="H84"/>
  <c r="E84"/>
  <c r="AT83"/>
  <c r="AS83"/>
  <c r="AR83"/>
  <c r="AT82"/>
  <c r="AS82"/>
  <c r="AR82"/>
  <c r="AT81"/>
  <c r="AS81"/>
  <c r="AR81"/>
  <c r="AT80"/>
  <c r="AS80"/>
  <c r="AR80"/>
  <c r="AT79"/>
  <c r="AS79"/>
  <c r="AR79"/>
  <c r="AK78"/>
  <c r="AJ78"/>
  <c r="AH78"/>
  <c r="AG78"/>
  <c r="AE78"/>
  <c r="U78"/>
  <c r="T78"/>
  <c r="Q78"/>
  <c r="P78"/>
  <c r="M78"/>
  <c r="L78"/>
  <c r="I78"/>
  <c r="H78"/>
  <c r="E78"/>
  <c r="AT78"/>
  <c r="AS78"/>
  <c r="AT77"/>
  <c r="AS77"/>
  <c r="AR77"/>
  <c r="AJ76"/>
  <c r="AH76"/>
  <c r="AG76"/>
  <c r="AF76"/>
  <c r="T76"/>
  <c r="P76"/>
  <c r="M76"/>
  <c r="L76"/>
  <c r="I76"/>
  <c r="H76"/>
  <c r="AT76"/>
  <c r="AS76"/>
  <c r="AR76"/>
  <c r="AT75"/>
  <c r="AS75"/>
  <c r="AR75"/>
  <c r="AH75"/>
  <c r="T75"/>
  <c r="Q75"/>
  <c r="P75"/>
  <c r="M75"/>
  <c r="L75"/>
  <c r="I75"/>
  <c r="H75"/>
  <c r="E4" i="1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6"/>
  <c r="C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3"/>
</calcChain>
</file>

<file path=xl/sharedStrings.xml><?xml version="1.0" encoding="utf-8"?>
<sst xmlns="http://schemas.openxmlformats.org/spreadsheetml/2006/main" count="9886" uniqueCount="327">
  <si>
    <t>Site ID</t>
  </si>
  <si>
    <t>GPS</t>
  </si>
  <si>
    <t>Tran A</t>
  </si>
  <si>
    <t>Tran G</t>
  </si>
  <si>
    <t>Date</t>
  </si>
  <si>
    <t>Samplers initials</t>
  </si>
  <si>
    <t>Weather Conditions</t>
  </si>
  <si>
    <t>Cloud Cover</t>
  </si>
  <si>
    <t>Precip</t>
  </si>
  <si>
    <t>24 hr Precip</t>
  </si>
  <si>
    <t>Air Temp C</t>
  </si>
  <si>
    <t>Time HH:MM</t>
  </si>
  <si>
    <t>Water Temp C</t>
  </si>
  <si>
    <t>SpCond (uS/cm)</t>
  </si>
  <si>
    <t>DO (mg/L)</t>
  </si>
  <si>
    <t>DO (% sat)</t>
  </si>
  <si>
    <t>Ph</t>
  </si>
  <si>
    <t>IN-SITU Measurements</t>
  </si>
  <si>
    <t>Shed code</t>
  </si>
  <si>
    <t>Reach</t>
  </si>
  <si>
    <t>Pass</t>
  </si>
  <si>
    <t>Species</t>
  </si>
  <si>
    <t>Length (mm)</t>
  </si>
  <si>
    <t>Weight (g)</t>
  </si>
  <si>
    <t>Transect</t>
  </si>
  <si>
    <t>Substrate Cross-section Data</t>
  </si>
  <si>
    <t>L</t>
  </si>
  <si>
    <t>R</t>
  </si>
  <si>
    <t>Dist LB (m)</t>
  </si>
  <si>
    <t>Depth (m)</t>
  </si>
  <si>
    <t xml:space="preserve">Sz class </t>
  </si>
  <si>
    <t>Left</t>
  </si>
  <si>
    <t>Right</t>
  </si>
  <si>
    <t>Right Center</t>
  </si>
  <si>
    <t>Center</t>
  </si>
  <si>
    <t>Left Center</t>
  </si>
  <si>
    <t>Embed %</t>
  </si>
  <si>
    <t>Fish Cover/Other</t>
  </si>
  <si>
    <t>Filament algae</t>
  </si>
  <si>
    <t>Biofilms</t>
  </si>
  <si>
    <t>Overhang veg</t>
  </si>
  <si>
    <t>Large Woody Debris</t>
  </si>
  <si>
    <t>Count</t>
  </si>
  <si>
    <t>Length (m)</t>
  </si>
  <si>
    <t>Up</t>
  </si>
  <si>
    <t>Dwn</t>
  </si>
  <si>
    <t>Bank/Thalweg Profile</t>
  </si>
  <si>
    <t>wetted width (m)</t>
  </si>
  <si>
    <t>Left undercut (cm)</t>
  </si>
  <si>
    <t>Thalweg depth (m)</t>
  </si>
  <si>
    <t>Thalweg velocity (m/s)</t>
  </si>
  <si>
    <t>Right undercut (cm)</t>
  </si>
  <si>
    <t>Transect Midpoint Thalweg Profile</t>
  </si>
  <si>
    <t>Wetted width (m)</t>
  </si>
  <si>
    <t>Substrate</t>
  </si>
  <si>
    <t>Diameter (m)</t>
  </si>
  <si>
    <t>Canopy Cover (Densiometer)</t>
  </si>
  <si>
    <t>Location (nearest transect)</t>
  </si>
  <si>
    <t>Time (HH:MM)</t>
  </si>
  <si>
    <t>Stream Discharge</t>
  </si>
  <si>
    <t>Dist from bank (cm)</t>
  </si>
  <si>
    <t>Depth (cm)</t>
  </si>
  <si>
    <t>Velocity (m/s)</t>
  </si>
  <si>
    <t>Water samples (number filtered &amp; unfil.)</t>
  </si>
  <si>
    <t>GPS N</t>
  </si>
  <si>
    <t>GPSE</t>
  </si>
  <si>
    <t>AWC?</t>
  </si>
  <si>
    <t>Comments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</si>
  <si>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</si>
  <si>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</si>
  <si>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</si>
  <si>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</si>
  <si>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</si>
  <si>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</si>
  <si>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</si>
  <si>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</si>
  <si>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</si>
  <si>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</si>
  <si>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</si>
  <si>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</si>
  <si>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</si>
  <si>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</si>
  <si>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</si>
  <si>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</si>
  <si>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</si>
  <si>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</si>
  <si>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</si>
  <si>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</si>
  <si>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</si>
  <si>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</si>
  <si>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</si>
  <si>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</si>
  <si>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</si>
  <si>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</si>
  <si>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</si>
  <si>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</si>
  <si>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</si>
  <si>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</si>
  <si>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</si>
  <si>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</si>
  <si>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</si>
  <si>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</si>
  <si>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</si>
  <si>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</si>
  <si>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</si>
  <si>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</si>
  <si>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</si>
  <si>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</si>
  <si>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</si>
  <si>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</si>
  <si>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</si>
  <si>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N</t>
  </si>
  <si>
    <t>n</t>
  </si>
  <si>
    <t>Salmon</t>
  </si>
  <si>
    <t>y</t>
  </si>
  <si>
    <t>*</t>
  </si>
  <si>
    <t>No water</t>
  </si>
  <si>
    <t>Didn't finish form 4</t>
  </si>
  <si>
    <t>No densiometer</t>
  </si>
  <si>
    <t>Must have permission from landowner for access, even then it will be challenging</t>
  </si>
  <si>
    <t>Difficult access, must cross mainstem Deep Creek, steep slope</t>
  </si>
  <si>
    <t>No GPS point at G, batteries died</t>
  </si>
  <si>
    <t>Attempted on 8/23, site is on hillside, no water.  Creek below is heavily brushed, not shock-able</t>
  </si>
  <si>
    <t>Wheeler access site</t>
  </si>
  <si>
    <t>Wheeler access site, no fish found</t>
  </si>
  <si>
    <t>Bridge is out over Ninilchik river -steep/deep banks, cannot cross by 4 wheeler</t>
  </si>
  <si>
    <t>No road</t>
  </si>
  <si>
    <t>Not enough water/flow to sample</t>
  </si>
  <si>
    <t>attempted 8/17, too much willow to sample stream</t>
  </si>
  <si>
    <t>Moved site</t>
  </si>
  <si>
    <t>Wheeler access only, very marshy, 5 mi wheeler+25 mi dirt road from Ninilchik =very long day trip</t>
  </si>
  <si>
    <t>No discharge measurement taken, no GPS coordinates on data sheets</t>
  </si>
  <si>
    <t>Not accessible, locked gate</t>
  </si>
  <si>
    <t>No YSI or GPS coords</t>
  </si>
  <si>
    <t>No fish</t>
  </si>
  <si>
    <t>Thick willow, could not shock (Pam's email 31 July)</t>
  </si>
  <si>
    <t>Too brushy, not fishable (Pam's email 31 Jul)</t>
  </si>
  <si>
    <t>Attempted 8/23, not fishable, thick willow/veg</t>
  </si>
  <si>
    <t>Not enough flow, marsh</t>
  </si>
  <si>
    <t>No water, Pam's 31 July email reports this site as sampled, no data sheets</t>
  </si>
  <si>
    <t>TN, JS, JK</t>
  </si>
  <si>
    <t>0-50</t>
  </si>
  <si>
    <t>CO</t>
  </si>
  <si>
    <t>Efisher info</t>
  </si>
  <si>
    <t>255V, 12%, 30Hz</t>
  </si>
  <si>
    <t>DV</t>
  </si>
  <si>
    <t>3S</t>
  </si>
  <si>
    <t>50-100</t>
  </si>
  <si>
    <t>CK</t>
  </si>
  <si>
    <t>30+</t>
  </si>
  <si>
    <t>100-150</t>
  </si>
  <si>
    <t>Comment</t>
  </si>
  <si>
    <t>efisher malfunction on 1st pass 100-150</t>
  </si>
  <si>
    <t>TN, JK, JF</t>
  </si>
  <si>
    <t>Could not sample reach 0-50, heavy veg.</t>
  </si>
  <si>
    <t>Reach 50-100 had ~3m unsampled due to veg.</t>
  </si>
  <si>
    <t>JS, TN, JM</t>
  </si>
  <si>
    <t>518a, 395V,30Hz, 12%</t>
  </si>
  <si>
    <t>TN, JM</t>
  </si>
  <si>
    <t>445s, 395V, 30Hz, 12%</t>
  </si>
  <si>
    <t>No fish all reaches, V30</t>
  </si>
  <si>
    <t>Reach 50-100 had no fish, V26</t>
  </si>
  <si>
    <t xml:space="preserve">JS, TN </t>
  </si>
  <si>
    <t>JS, JM</t>
  </si>
  <si>
    <t>DH, JS, PK</t>
  </si>
  <si>
    <t>No fish, v25 p2, 50-100, 100-150</t>
  </si>
  <si>
    <t>No fish v41, p2 100-150</t>
  </si>
  <si>
    <t>PK, JS, DS</t>
  </si>
  <si>
    <t>DH, PK, JS</t>
  </si>
  <si>
    <t>No fish V23 0-50, p2</t>
  </si>
  <si>
    <t>no fish v23, 100-150, p2</t>
  </si>
  <si>
    <t>SB, MC, JM</t>
  </si>
  <si>
    <t>No pass 2 data all V04</t>
  </si>
  <si>
    <t>JM, JS, PK</t>
  </si>
  <si>
    <t>3783s shock time, all reaches</t>
  </si>
  <si>
    <t>10+</t>
  </si>
  <si>
    <t>MG, JM, DH</t>
  </si>
  <si>
    <t>JS, PK, KB</t>
  </si>
  <si>
    <t>JM, CW, KB</t>
  </si>
  <si>
    <t>SH</t>
  </si>
  <si>
    <t>JM, KM, TN, CW</t>
  </si>
  <si>
    <t>No fish found, all reaches</t>
  </si>
  <si>
    <t>JS, PK, DH</t>
  </si>
  <si>
    <t>No fish, pass 2 V09 100-150</t>
  </si>
  <si>
    <t>CW, JM, KB</t>
  </si>
  <si>
    <t>Heavy vegetation on 50-100 V28</t>
  </si>
  <si>
    <t>JM, JS, PK, DH</t>
  </si>
  <si>
    <t>JS, DH,PK</t>
  </si>
  <si>
    <t>Only p1, 0-15 had fish V13</t>
  </si>
  <si>
    <t>V17A</t>
  </si>
  <si>
    <t>TN, JS, MM</t>
  </si>
  <si>
    <t>One DV escaped from bucket, V17A</t>
  </si>
  <si>
    <t>Dense willow and deadfall, V19</t>
  </si>
  <si>
    <t>PK,DH, MC</t>
  </si>
  <si>
    <t>Lots of willow, deep banks, beaver dams, stagnant water, V18.  NO FISH</t>
  </si>
  <si>
    <t>&gt;75</t>
  </si>
  <si>
    <t>Mod</t>
  </si>
  <si>
    <t>None</t>
  </si>
  <si>
    <t>G</t>
  </si>
  <si>
    <t>SA</t>
  </si>
  <si>
    <t>F</t>
  </si>
  <si>
    <t>FN</t>
  </si>
  <si>
    <t>WD</t>
  </si>
  <si>
    <t>E</t>
  </si>
  <si>
    <t>*1</t>
  </si>
  <si>
    <t>Note</t>
  </si>
  <si>
    <t>*1: Undercut</t>
  </si>
  <si>
    <t>GF</t>
  </si>
  <si>
    <t>C</t>
  </si>
  <si>
    <t>*2</t>
  </si>
  <si>
    <t>GC</t>
  </si>
  <si>
    <t>*2: No data, no note</t>
  </si>
  <si>
    <t>Pair</t>
  </si>
  <si>
    <t>Pools between</t>
  </si>
  <si>
    <t>Length</t>
  </si>
  <si>
    <t>Width</t>
  </si>
  <si>
    <t>Depth</t>
  </si>
  <si>
    <t>D</t>
  </si>
  <si>
    <t>CD</t>
  </si>
  <si>
    <t>B</t>
  </si>
  <si>
    <t>A</t>
  </si>
  <si>
    <t>*No data sheet</t>
  </si>
  <si>
    <t>JF, TN, JK</t>
  </si>
  <si>
    <t>na</t>
  </si>
  <si>
    <t>GB</t>
  </si>
  <si>
    <t>CB</t>
  </si>
  <si>
    <t>GG</t>
  </si>
  <si>
    <t>LB</t>
  </si>
  <si>
    <t>SB</t>
  </si>
  <si>
    <t>*3M of reach unsampleable due to vegetation</t>
  </si>
  <si>
    <t>Not enough sampleable creek available. No site G</t>
  </si>
  <si>
    <t>TN, CW, JM</t>
  </si>
  <si>
    <t>5-25%</t>
  </si>
  <si>
    <t>AB</t>
  </si>
  <si>
    <t>New densiometers, max count 37</t>
  </si>
  <si>
    <t>.1-.3</t>
  </si>
  <si>
    <t>*3: Undercut, could not get depth measurements</t>
  </si>
  <si>
    <t>*3</t>
  </si>
  <si>
    <t>TN, JS, JM</t>
  </si>
  <si>
    <t>0*4</t>
  </si>
  <si>
    <t>5-15.0</t>
  </si>
  <si>
    <t>1.5-5</t>
  </si>
  <si>
    <t>DE</t>
  </si>
  <si>
    <t>Stream heavily vegetated, often subsurface or overgrown with willow and grass</t>
  </si>
  <si>
    <t>BC</t>
  </si>
  <si>
    <t>FG</t>
  </si>
  <si>
    <t>25-50%</t>
  </si>
  <si>
    <t>*5</t>
  </si>
  <si>
    <t>5: Huge deadfall across creek</t>
  </si>
  <si>
    <t>PK, DH, JS</t>
  </si>
  <si>
    <t>Light</t>
  </si>
  <si>
    <t>*6</t>
  </si>
  <si>
    <t>6: One long pool</t>
  </si>
  <si>
    <t>&lt;5</t>
  </si>
  <si>
    <t>&lt;75</t>
  </si>
  <si>
    <t>LIGHT</t>
  </si>
  <si>
    <t>Large rock split channel in two, second flow: .25 m/s</t>
  </si>
  <si>
    <t>DB, MC, JM</t>
  </si>
  <si>
    <t>10cm undercut on R bank</t>
  </si>
  <si>
    <t>SANC</t>
  </si>
  <si>
    <t>Ridiculous stream: willow choked and too many flies</t>
  </si>
  <si>
    <t>NANC</t>
  </si>
  <si>
    <t>KB, JS, PK</t>
  </si>
  <si>
    <t>50-75%</t>
  </si>
  <si>
    <t>CG</t>
  </si>
  <si>
    <t>..8</t>
  </si>
  <si>
    <t>sa</t>
  </si>
  <si>
    <t>EF</t>
  </si>
  <si>
    <t>2EA</t>
  </si>
  <si>
    <t>PT</t>
  </si>
  <si>
    <t>PK, JS, KB</t>
  </si>
  <si>
    <t>NO FLOW DATA</t>
  </si>
  <si>
    <t>FGF</t>
  </si>
  <si>
    <t>LARGE LAND MOUND BETWEEN D AND MID-E, FLOW IS AT FASTEST, NOT DEEPEST POINT DUE TO WATERFALL</t>
  </si>
  <si>
    <t>.3\</t>
  </si>
  <si>
    <t>SEVERAL METERS OF SOLID 'BRIDGE' KIST BEFORE f CANNOT SEE POOLS</t>
  </si>
  <si>
    <t>CW, JM,SH,PK, KB, TN</t>
  </si>
  <si>
    <t>GPS WAS SET TO DMS NAD 27</t>
  </si>
  <si>
    <t>RB</t>
  </si>
  <si>
    <t>GHC</t>
  </si>
  <si>
    <t>CF</t>
  </si>
  <si>
    <t>VELOCITY METER WAS FT/S, CHECK PREVIOUS DATA!</t>
  </si>
  <si>
    <t>STAR</t>
  </si>
  <si>
    <t>DH,PK, JS</t>
  </si>
  <si>
    <t>W</t>
  </si>
  <si>
    <t>Q</t>
  </si>
  <si>
    <t>.3-.6</t>
  </si>
  <si>
    <t>1.5.-5</t>
  </si>
  <si>
    <t>DEEP</t>
  </si>
  <si>
    <t>CW, KB,JM</t>
  </si>
  <si>
    <t>FB</t>
  </si>
  <si>
    <t>UPSTREAM OF LOGGING ROAD CROSSING- SILTED IN</t>
  </si>
  <si>
    <t>BATTERIES LOW ON FLOW METER</t>
  </si>
  <si>
    <t>&gt;.8</t>
  </si>
  <si>
    <t>DEPTH TAKEN FROM TOP OF COBBLE</t>
  </si>
  <si>
    <t>PK, JS, DH</t>
  </si>
  <si>
    <t>NONE</t>
  </si>
  <si>
    <t>15.-5</t>
  </si>
  <si>
    <t>MIDPOINT: SUBSURFACE</t>
  </si>
  <si>
    <t>RN</t>
  </si>
  <si>
    <t>.</t>
  </si>
  <si>
    <t>VERY SMALL REACH, UNOBTAINABLE FLOW</t>
  </si>
  <si>
    <t>PK, DH, MC</t>
  </si>
  <si>
    <t>NO DATA FOR EMBEDDED, NO NOTE</t>
  </si>
  <si>
    <t>TEMP LOGGER DEPLOYED UNDER BRIDGE, LEFT BAND, RIGHT SID OF BRIDGE DRIVING IN RIGHT</t>
  </si>
  <si>
    <t>OVERGROWN, COULD NOT GET IN TO MEASURE</t>
  </si>
  <si>
    <t>ROCK</t>
  </si>
  <si>
    <t>9*.025</t>
  </si>
  <si>
    <t>NO EMBEDDNESS, NO NOTE</t>
  </si>
  <si>
    <t>LOTS OF SMALL WOODY DEBRIS IN STREAM, &lt;.1</t>
  </si>
  <si>
    <t>SITE AT OLD BEAVER DAM, BLOWN OUT</t>
  </si>
  <si>
    <t>DENSIOMETER TO 96</t>
  </si>
  <si>
    <t>LOTS OF WILLOW</t>
  </si>
  <si>
    <t>DH,PK, JS, JM</t>
  </si>
  <si>
    <t>.6-.8</t>
  </si>
  <si>
    <t>5.0-15</t>
  </si>
  <si>
    <t>FGC</t>
  </si>
  <si>
    <t>easy access, coho found, nominated for AWC</t>
  </si>
  <si>
    <t>nominated for AWC</t>
  </si>
  <si>
    <t>Juvenile CO present, no fish photos, TDN sampled, nominated for AWC</t>
  </si>
  <si>
    <t>Access appears off Skyline, not attempted, need imagery</t>
  </si>
  <si>
    <t>CK and CO, YSI batteries died, nominated for AWC</t>
  </si>
  <si>
    <t>DH, MG,JM</t>
  </si>
  <si>
    <t>NINI</t>
  </si>
  <si>
    <t>*4: Flow is visible but could not detect behind boulder in transect</t>
  </si>
  <si>
    <t>2.5 hour travel time + 0.5 hour hike in, no GPS coordinates on data sheet, need from GPS unit_data from Google Earth and site maps, nominated for AWC</t>
  </si>
  <si>
    <t>SB, MC</t>
  </si>
</sst>
</file>

<file path=xl/styles.xml><?xml version="1.0" encoding="utf-8"?>
<styleSheet xmlns="http://schemas.openxmlformats.org/spreadsheetml/2006/main">
  <numFmts count="5">
    <numFmt numFmtId="164" formatCode="yyyy\-mm\-dd;@"/>
    <numFmt numFmtId="165" formatCode="h:mm;@"/>
    <numFmt numFmtId="166" formatCode="0.0"/>
    <numFmt numFmtId="167" formatCode="m/d/yy;@"/>
    <numFmt numFmtId="168" formatCode="m/d;@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6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2" xfId="0" applyFont="1" applyBorder="1" applyAlignment="1">
      <alignment horizontal="center"/>
    </xf>
    <xf numFmtId="164" fontId="0" fillId="0" borderId="1" xfId="0" applyNumberFormat="1" applyBorder="1"/>
    <xf numFmtId="165" fontId="0" fillId="0" borderId="0" xfId="0" applyNumberFormat="1"/>
    <xf numFmtId="2" fontId="4" fillId="0" borderId="2" xfId="0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166" fontId="2" fillId="0" borderId="2" xfId="1" applyNumberFormat="1" applyFont="1" applyFill="1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  <xf numFmtId="0" fontId="4" fillId="0" borderId="4" xfId="0" applyFont="1" applyBorder="1"/>
    <xf numFmtId="0" fontId="0" fillId="0" borderId="4" xfId="0" applyBorder="1"/>
    <xf numFmtId="0" fontId="0" fillId="0" borderId="5" xfId="0" applyNumberFormat="1" applyBorder="1"/>
    <xf numFmtId="0" fontId="0" fillId="0" borderId="3" xfId="0" applyNumberFormat="1" applyBorder="1"/>
    <xf numFmtId="0" fontId="0" fillId="0" borderId="5" xfId="0" applyBorder="1"/>
    <xf numFmtId="0" fontId="0" fillId="0" borderId="3" xfId="0" applyBorder="1"/>
    <xf numFmtId="0" fontId="0" fillId="0" borderId="0" xfId="0" applyBorder="1"/>
    <xf numFmtId="0" fontId="0" fillId="0" borderId="6" xfId="0" applyBorder="1"/>
    <xf numFmtId="0" fontId="4" fillId="0" borderId="7" xfId="0" applyFont="1" applyBorder="1"/>
    <xf numFmtId="0" fontId="4" fillId="0" borderId="8" xfId="0" applyFont="1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165" fontId="4" fillId="0" borderId="14" xfId="0" applyNumberFormat="1" applyFont="1" applyBorder="1" applyAlignment="1">
      <alignment horizontal="center"/>
    </xf>
    <xf numFmtId="165" fontId="0" fillId="0" borderId="3" xfId="0" applyNumberFormat="1" applyBorder="1"/>
    <xf numFmtId="2" fontId="4" fillId="0" borderId="15" xfId="0" applyNumberFormat="1" applyFont="1" applyBorder="1" applyAlignment="1">
      <alignment horizontal="center"/>
    </xf>
    <xf numFmtId="2" fontId="0" fillId="0" borderId="4" xfId="0" applyNumberFormat="1" applyBorder="1"/>
    <xf numFmtId="2" fontId="0" fillId="0" borderId="16" xfId="0" applyNumberFormat="1" applyBorder="1"/>
    <xf numFmtId="9" fontId="4" fillId="0" borderId="15" xfId="0" applyNumberFormat="1" applyFont="1" applyBorder="1" applyAlignment="1">
      <alignment horizontal="center"/>
    </xf>
    <xf numFmtId="9" fontId="0" fillId="0" borderId="4" xfId="0" applyNumberFormat="1" applyBorder="1"/>
    <xf numFmtId="9" fontId="0" fillId="0" borderId="16" xfId="0" applyNumberFormat="1" applyBorder="1"/>
    <xf numFmtId="2" fontId="4" fillId="0" borderId="17" xfId="0" applyNumberFormat="1" applyFont="1" applyBorder="1" applyAlignment="1">
      <alignment horizontal="center"/>
    </xf>
    <xf numFmtId="2" fontId="0" fillId="0" borderId="5" xfId="0" applyNumberFormat="1" applyBorder="1"/>
    <xf numFmtId="2" fontId="0" fillId="0" borderId="6" xfId="0" applyNumberFormat="1" applyBorder="1"/>
    <xf numFmtId="0" fontId="0" fillId="0" borderId="4" xfId="0" applyNumberFormat="1" applyBorder="1"/>
    <xf numFmtId="0" fontId="0" fillId="0" borderId="16" xfId="0" applyNumberFormat="1" applyBorder="1"/>
    <xf numFmtId="0" fontId="0" fillId="0" borderId="6" xfId="0" applyNumberFormat="1" applyBorder="1"/>
    <xf numFmtId="0" fontId="5" fillId="0" borderId="1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4" fontId="5" fillId="0" borderId="3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67" fontId="0" fillId="0" borderId="0" xfId="0" applyNumberFormat="1"/>
    <xf numFmtId="0" fontId="7" fillId="0" borderId="0" xfId="0" applyFont="1" applyAlignment="1">
      <alignment wrapText="1"/>
    </xf>
    <xf numFmtId="0" fontId="3" fillId="0" borderId="7" xfId="0" applyFont="1" applyBorder="1"/>
    <xf numFmtId="167" fontId="3" fillId="0" borderId="7" xfId="0" applyNumberFormat="1" applyFont="1" applyBorder="1"/>
    <xf numFmtId="0" fontId="8" fillId="0" borderId="7" xfId="0" applyFont="1" applyBorder="1" applyAlignment="1">
      <alignment wrapText="1"/>
    </xf>
    <xf numFmtId="0" fontId="0" fillId="0" borderId="0" xfId="0" applyFill="1"/>
    <xf numFmtId="0" fontId="9" fillId="0" borderId="0" xfId="0" applyFont="1" applyFill="1"/>
    <xf numFmtId="0" fontId="5" fillId="0" borderId="1" xfId="0" applyFont="1" applyBorder="1" applyAlignment="1">
      <alignment horizontal="center"/>
    </xf>
    <xf numFmtId="0" fontId="0" fillId="2" borderId="0" xfId="0" applyFill="1"/>
    <xf numFmtId="167" fontId="0" fillId="2" borderId="0" xfId="0" applyNumberFormat="1" applyFill="1"/>
    <xf numFmtId="0" fontId="7" fillId="2" borderId="0" xfId="0" applyFont="1" applyFill="1" applyAlignment="1">
      <alignment wrapText="1"/>
    </xf>
    <xf numFmtId="0" fontId="3" fillId="0" borderId="1" xfId="0" applyFont="1" applyBorder="1" applyAlignment="1">
      <alignment horizontal="center"/>
    </xf>
    <xf numFmtId="167" fontId="5" fillId="0" borderId="0" xfId="0" applyNumberFormat="1" applyFont="1"/>
    <xf numFmtId="167" fontId="5" fillId="0" borderId="3" xfId="0" applyNumberFormat="1" applyFont="1" applyBorder="1" applyAlignment="1">
      <alignment horizontal="center"/>
    </xf>
    <xf numFmtId="167" fontId="0" fillId="0" borderId="3" xfId="0" applyNumberFormat="1" applyBorder="1"/>
    <xf numFmtId="0" fontId="0" fillId="0" borderId="11" xfId="0" applyNumberFormat="1" applyBorder="1"/>
    <xf numFmtId="0" fontId="0" fillId="0" borderId="0" xfId="0" applyNumberFormat="1" applyBorder="1"/>
    <xf numFmtId="0" fontId="0" fillId="0" borderId="0" xfId="0" applyNumberFormat="1"/>
    <xf numFmtId="168" fontId="0" fillId="0" borderId="0" xfId="0" applyNumberFormat="1" applyBorder="1"/>
    <xf numFmtId="168" fontId="4" fillId="0" borderId="7" xfId="0" applyNumberFormat="1" applyFont="1" applyBorder="1"/>
    <xf numFmtId="168" fontId="5" fillId="0" borderId="1" xfId="0" applyNumberFormat="1" applyFont="1" applyBorder="1" applyAlignment="1">
      <alignment horizontal="center" wrapText="1"/>
    </xf>
    <xf numFmtId="168" fontId="0" fillId="0" borderId="1" xfId="0" applyNumberFormat="1" applyBorder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16" fontId="0" fillId="0" borderId="1" xfId="0" applyNumberFormat="1" applyBorder="1"/>
    <xf numFmtId="20" fontId="0" fillId="0" borderId="3" xfId="0" applyNumberFormat="1" applyBorder="1"/>
    <xf numFmtId="2" fontId="0" fillId="0" borderId="10" xfId="0" applyNumberFormat="1" applyBorder="1"/>
    <xf numFmtId="0" fontId="0" fillId="0" borderId="5" xfId="0" applyFill="1" applyBorder="1"/>
    <xf numFmtId="0" fontId="0" fillId="0" borderId="0" xfId="0" applyNumberFormat="1" applyFill="1" applyBorder="1"/>
    <xf numFmtId="0" fontId="0" fillId="0" borderId="0" xfId="0" applyFill="1" applyBorder="1"/>
    <xf numFmtId="0" fontId="0" fillId="0" borderId="23" xfId="0" applyFill="1" applyBorder="1"/>
    <xf numFmtId="0" fontId="0" fillId="0" borderId="1" xfId="0" applyFill="1" applyBorder="1"/>
    <xf numFmtId="168" fontId="0" fillId="0" borderId="1" xfId="0" applyNumberFormat="1" applyFill="1" applyBorder="1"/>
    <xf numFmtId="16" fontId="0" fillId="0" borderId="10" xfId="0" applyNumberFormat="1" applyBorder="1"/>
    <xf numFmtId="0" fontId="0" fillId="0" borderId="0" xfId="0" applyFont="1"/>
    <xf numFmtId="167" fontId="0" fillId="0" borderId="0" xfId="0" applyNumberFormat="1" applyFont="1"/>
    <xf numFmtId="0" fontId="0" fillId="0" borderId="0" xfId="0" applyFont="1" applyFill="1"/>
    <xf numFmtId="167" fontId="0" fillId="0" borderId="0" xfId="0" applyNumberFormat="1" applyFont="1" applyFill="1"/>
    <xf numFmtId="0" fontId="7" fillId="0" borderId="0" xfId="0" applyFont="1" applyFill="1" applyAlignment="1">
      <alignment wrapText="1"/>
    </xf>
    <xf numFmtId="167" fontId="9" fillId="0" borderId="0" xfId="0" applyNumberFormat="1" applyFont="1" applyFill="1"/>
    <xf numFmtId="0" fontId="10" fillId="0" borderId="0" xfId="0" applyFont="1" applyFill="1" applyAlignment="1">
      <alignment wrapText="1"/>
    </xf>
    <xf numFmtId="167" fontId="0" fillId="0" borderId="0" xfId="0" applyNumberFormat="1" applyFill="1"/>
    <xf numFmtId="0" fontId="0" fillId="0" borderId="4" xfId="0" applyFill="1" applyBorder="1"/>
    <xf numFmtId="166" fontId="4" fillId="0" borderId="1" xfId="0" applyNumberFormat="1" applyFont="1" applyBorder="1" applyAlignment="1">
      <alignment horizontal="center" wrapText="1"/>
    </xf>
    <xf numFmtId="166" fontId="0" fillId="0" borderId="1" xfId="0" applyNumberFormat="1" applyFill="1" applyBorder="1"/>
    <xf numFmtId="166" fontId="4" fillId="0" borderId="4" xfId="0" applyNumberFormat="1" applyFont="1" applyBorder="1" applyAlignment="1">
      <alignment horizontal="center" wrapText="1"/>
    </xf>
    <xf numFmtId="166" fontId="0" fillId="0" borderId="4" xfId="0" applyNumberFormat="1" applyBorder="1"/>
    <xf numFmtId="166" fontId="0" fillId="0" borderId="4" xfId="0" applyNumberFormat="1" applyFill="1" applyBorder="1"/>
    <xf numFmtId="0" fontId="0" fillId="0" borderId="3" xfId="0" applyNumberFormat="1" applyFill="1" applyBorder="1"/>
    <xf numFmtId="0" fontId="0" fillId="0" borderId="3" xfId="0" applyFill="1" applyBorder="1"/>
    <xf numFmtId="2" fontId="4" fillId="0" borderId="4" xfId="0" applyNumberFormat="1" applyFont="1" applyBorder="1" applyAlignment="1">
      <alignment horizontal="center" wrapText="1"/>
    </xf>
    <xf numFmtId="2" fontId="0" fillId="0" borderId="4" xfId="0" applyNumberFormat="1" applyFill="1" applyBorder="1"/>
    <xf numFmtId="2" fontId="4" fillId="0" borderId="1" xfId="0" applyNumberFormat="1" applyFont="1" applyBorder="1" applyAlignment="1">
      <alignment horizontal="center" wrapText="1"/>
    </xf>
    <xf numFmtId="2" fontId="0" fillId="0" borderId="1" xfId="0" applyNumberFormat="1" applyFill="1" applyBorder="1"/>
    <xf numFmtId="2" fontId="4" fillId="0" borderId="5" xfId="0" applyNumberFormat="1" applyFont="1" applyBorder="1" applyAlignment="1">
      <alignment horizontal="center" wrapText="1"/>
    </xf>
    <xf numFmtId="2" fontId="0" fillId="0" borderId="5" xfId="0" applyNumberFormat="1" applyFill="1" applyBorder="1"/>
    <xf numFmtId="2" fontId="0" fillId="0" borderId="7" xfId="0" applyNumberFormat="1" applyBorder="1"/>
    <xf numFmtId="2" fontId="0" fillId="0" borderId="3" xfId="0" applyNumberFormat="1" applyFill="1" applyBorder="1"/>
    <xf numFmtId="2" fontId="4" fillId="0" borderId="3" xfId="0" applyNumberFormat="1" applyFont="1" applyBorder="1"/>
    <xf numFmtId="2" fontId="4" fillId="0" borderId="3" xfId="0" applyNumberFormat="1" applyFont="1" applyBorder="1" applyAlignment="1">
      <alignment horizontal="center" wrapText="1"/>
    </xf>
    <xf numFmtId="2" fontId="0" fillId="0" borderId="3" xfId="0" applyNumberFormat="1" applyBorder="1"/>
    <xf numFmtId="2" fontId="0" fillId="0" borderId="0" xfId="0" applyNumberFormat="1" applyBorder="1"/>
    <xf numFmtId="0" fontId="0" fillId="0" borderId="10" xfId="0" applyFill="1" applyBorder="1"/>
    <xf numFmtId="2" fontId="0" fillId="0" borderId="10" xfId="0" applyNumberFormat="1" applyFill="1" applyBorder="1"/>
    <xf numFmtId="0" fontId="0" fillId="0" borderId="11" xfId="0" applyNumberFormat="1" applyFill="1" applyBorder="1"/>
    <xf numFmtId="1" fontId="4" fillId="0" borderId="5" xfId="0" applyNumberFormat="1" applyFont="1" applyBorder="1" applyAlignment="1">
      <alignment horizontal="center" wrapText="1"/>
    </xf>
    <xf numFmtId="1" fontId="0" fillId="0" borderId="5" xfId="0" applyNumberFormat="1" applyBorder="1"/>
    <xf numFmtId="1" fontId="0" fillId="0" borderId="5" xfId="0" applyNumberFormat="1" applyFill="1" applyBorder="1"/>
    <xf numFmtId="0" fontId="6" fillId="0" borderId="1" xfId="0" applyFont="1" applyFill="1" applyBorder="1"/>
    <xf numFmtId="1" fontId="0" fillId="0" borderId="1" xfId="0" applyNumberFormat="1" applyBorder="1" applyAlignment="1">
      <alignment horizontal="center" wrapText="1"/>
    </xf>
    <xf numFmtId="1" fontId="0" fillId="0" borderId="1" xfId="0" applyNumberFormat="1" applyBorder="1"/>
    <xf numFmtId="1" fontId="0" fillId="0" borderId="1" xfId="0" applyNumberFormat="1" applyFill="1" applyBorder="1"/>
    <xf numFmtId="0" fontId="0" fillId="0" borderId="0" xfId="0" applyFill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6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" xfId="0" applyFont="1" applyBorder="1" applyAlignment="1"/>
    <xf numFmtId="0" fontId="3" fillId="0" borderId="3" xfId="0" applyFont="1" applyBorder="1" applyAlignment="1"/>
    <xf numFmtId="2" fontId="4" fillId="0" borderId="4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4" fillId="0" borderId="4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5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2" fontId="4" fillId="0" borderId="20" xfId="0" applyNumberFormat="1" applyFont="1" applyBorder="1" applyAlignment="1">
      <alignment horizontal="center" wrapText="1"/>
    </xf>
    <xf numFmtId="2" fontId="4" fillId="0" borderId="18" xfId="0" applyNumberFormat="1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0" fillId="0" borderId="5" xfId="0" applyNumberFormat="1" applyFill="1" applyBorder="1"/>
    <xf numFmtId="16" fontId="0" fillId="0" borderId="1" xfId="0" applyNumberFormat="1" applyFill="1" applyBorder="1"/>
    <xf numFmtId="20" fontId="0" fillId="0" borderId="3" xfId="0" applyNumberFormat="1" applyFill="1" applyBorder="1"/>
    <xf numFmtId="0" fontId="0" fillId="0" borderId="11" xfId="0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topLeftCell="A26" workbookViewId="0">
      <selection activeCell="B2" sqref="B2"/>
    </sheetView>
  </sheetViews>
  <sheetFormatPr defaultRowHeight="15"/>
  <cols>
    <col min="2" max="2" width="7.85546875" style="59" customWidth="1"/>
    <col min="4" max="4" width="8.85546875" customWidth="1"/>
    <col min="5" max="5" width="8.7109375" customWidth="1"/>
    <col min="6" max="6" width="9" customWidth="1"/>
    <col min="7" max="7" width="42.7109375" style="60" customWidth="1"/>
  </cols>
  <sheetData>
    <row r="1" spans="1:7">
      <c r="A1" s="61" t="s">
        <v>0</v>
      </c>
      <c r="B1" s="62" t="s">
        <v>4</v>
      </c>
      <c r="C1" s="61" t="s">
        <v>64</v>
      </c>
      <c r="D1" s="61" t="s">
        <v>65</v>
      </c>
      <c r="E1" s="61" t="s">
        <v>113</v>
      </c>
      <c r="F1" s="61" t="s">
        <v>66</v>
      </c>
      <c r="G1" s="63" t="s">
        <v>67</v>
      </c>
    </row>
    <row r="2" spans="1:7" ht="24.75">
      <c r="A2" t="s">
        <v>68</v>
      </c>
      <c r="B2" s="59">
        <v>40722</v>
      </c>
      <c r="E2" t="s">
        <v>112</v>
      </c>
      <c r="F2" t="s">
        <v>111</v>
      </c>
      <c r="G2" s="60" t="s">
        <v>131</v>
      </c>
    </row>
    <row r="3" spans="1:7">
      <c r="A3" t="s">
        <v>69</v>
      </c>
      <c r="B3" s="59">
        <v>40723</v>
      </c>
      <c r="C3">
        <v>6620600</v>
      </c>
      <c r="D3">
        <v>574374</v>
      </c>
      <c r="E3" t="s">
        <v>114</v>
      </c>
      <c r="G3" s="60" t="s">
        <v>118</v>
      </c>
    </row>
    <row r="4" spans="1:7">
      <c r="A4" t="s">
        <v>70</v>
      </c>
      <c r="B4" s="59">
        <v>40729</v>
      </c>
      <c r="C4">
        <v>6619804</v>
      </c>
      <c r="D4">
        <v>573199</v>
      </c>
      <c r="E4" t="s">
        <v>114</v>
      </c>
      <c r="G4" s="60" t="s">
        <v>118</v>
      </c>
    </row>
    <row r="5" spans="1:7">
      <c r="A5" t="s">
        <v>71</v>
      </c>
      <c r="B5" s="59">
        <v>40730</v>
      </c>
      <c r="C5">
        <v>6621345</v>
      </c>
      <c r="D5">
        <v>576660</v>
      </c>
      <c r="E5" t="s">
        <v>114</v>
      </c>
      <c r="G5" s="60" t="s">
        <v>118</v>
      </c>
    </row>
    <row r="6" spans="1:7">
      <c r="A6" t="s">
        <v>72</v>
      </c>
      <c r="B6" s="59">
        <v>40731</v>
      </c>
      <c r="C6">
        <v>6624361</v>
      </c>
      <c r="D6">
        <v>572317</v>
      </c>
      <c r="E6" t="s">
        <v>114</v>
      </c>
      <c r="G6" s="60" t="s">
        <v>118</v>
      </c>
    </row>
    <row r="7" spans="1:7">
      <c r="A7" t="s">
        <v>73</v>
      </c>
      <c r="B7" s="59">
        <v>40735</v>
      </c>
      <c r="C7">
        <v>6630021</v>
      </c>
      <c r="D7">
        <v>583463</v>
      </c>
      <c r="E7" t="s">
        <v>112</v>
      </c>
      <c r="F7" t="s">
        <v>111</v>
      </c>
      <c r="G7" s="60" t="s">
        <v>118</v>
      </c>
    </row>
    <row r="8" spans="1:7">
      <c r="A8" t="s">
        <v>74</v>
      </c>
      <c r="B8" s="59">
        <v>40735</v>
      </c>
      <c r="C8">
        <v>6632556</v>
      </c>
      <c r="D8">
        <v>578209</v>
      </c>
      <c r="E8" t="s">
        <v>112</v>
      </c>
      <c r="F8" s="64"/>
      <c r="G8" s="60" t="s">
        <v>117</v>
      </c>
    </row>
    <row r="9" spans="1:7">
      <c r="A9" t="s">
        <v>75</v>
      </c>
      <c r="B9" s="59" t="s">
        <v>115</v>
      </c>
      <c r="F9" t="s">
        <v>111</v>
      </c>
      <c r="G9" s="60" t="s">
        <v>116</v>
      </c>
    </row>
    <row r="10" spans="1:7" s="94" customFormat="1" ht="48.75">
      <c r="A10" s="94" t="s">
        <v>76</v>
      </c>
      <c r="B10" s="95">
        <v>40736</v>
      </c>
      <c r="C10" s="94">
        <v>6639833</v>
      </c>
      <c r="D10" s="94">
        <v>571761</v>
      </c>
      <c r="E10" s="94" t="s">
        <v>114</v>
      </c>
      <c r="F10" s="94" t="s">
        <v>111</v>
      </c>
      <c r="G10" s="60" t="s">
        <v>325</v>
      </c>
    </row>
    <row r="11" spans="1:7" ht="24.75">
      <c r="A11" t="s">
        <v>77</v>
      </c>
      <c r="B11" s="59" t="s">
        <v>115</v>
      </c>
      <c r="F11" t="s">
        <v>111</v>
      </c>
      <c r="G11" s="60" t="s">
        <v>119</v>
      </c>
    </row>
    <row r="12" spans="1:7">
      <c r="A12" t="s">
        <v>78</v>
      </c>
      <c r="B12" s="59" t="s">
        <v>115</v>
      </c>
      <c r="G12" s="60" t="s">
        <v>132</v>
      </c>
    </row>
    <row r="13" spans="1:7">
      <c r="A13" t="s">
        <v>79</v>
      </c>
      <c r="B13" s="59">
        <v>40738</v>
      </c>
      <c r="E13" t="s">
        <v>112</v>
      </c>
      <c r="F13" t="s">
        <v>111</v>
      </c>
      <c r="G13" s="60" t="s">
        <v>133</v>
      </c>
    </row>
    <row r="14" spans="1:7">
      <c r="A14" t="s">
        <v>80</v>
      </c>
      <c r="B14" s="59">
        <v>40739</v>
      </c>
      <c r="C14">
        <v>6658334</v>
      </c>
      <c r="D14">
        <v>596086</v>
      </c>
      <c r="E14" t="s">
        <v>112</v>
      </c>
      <c r="F14" t="s">
        <v>111</v>
      </c>
      <c r="G14" s="60" t="s">
        <v>134</v>
      </c>
    </row>
    <row r="15" spans="1:7" ht="24.75">
      <c r="A15" t="s">
        <v>81</v>
      </c>
      <c r="B15" s="59" t="s">
        <v>115</v>
      </c>
      <c r="F15" t="s">
        <v>111</v>
      </c>
      <c r="G15" s="60" t="s">
        <v>120</v>
      </c>
    </row>
    <row r="16" spans="1:7" ht="24.75">
      <c r="A16" s="67" t="s">
        <v>82</v>
      </c>
      <c r="B16" s="68" t="s">
        <v>115</v>
      </c>
      <c r="C16" s="67"/>
      <c r="D16" s="67"/>
      <c r="E16" s="67"/>
      <c r="F16" s="67" t="s">
        <v>111</v>
      </c>
      <c r="G16" s="69" t="s">
        <v>139</v>
      </c>
    </row>
    <row r="17" spans="1:7">
      <c r="A17" t="s">
        <v>83</v>
      </c>
      <c r="B17" s="59">
        <v>40745</v>
      </c>
      <c r="C17">
        <v>6632183</v>
      </c>
      <c r="D17">
        <v>578815</v>
      </c>
      <c r="E17" t="s">
        <v>112</v>
      </c>
      <c r="F17" t="s">
        <v>111</v>
      </c>
    </row>
    <row r="18" spans="1:7" s="94" customFormat="1">
      <c r="A18" s="94" t="s">
        <v>84</v>
      </c>
      <c r="B18" s="95">
        <v>40743</v>
      </c>
      <c r="C18" s="94">
        <v>6624177</v>
      </c>
      <c r="D18" s="94">
        <v>595824</v>
      </c>
      <c r="E18" s="94" t="s">
        <v>114</v>
      </c>
      <c r="F18" s="94" t="s">
        <v>111</v>
      </c>
      <c r="G18" s="60" t="s">
        <v>317</v>
      </c>
    </row>
    <row r="19" spans="1:7">
      <c r="A19" t="s">
        <v>85</v>
      </c>
      <c r="B19" s="59">
        <v>40750</v>
      </c>
      <c r="C19">
        <v>6624259</v>
      </c>
      <c r="D19">
        <v>596179</v>
      </c>
      <c r="E19" t="s">
        <v>112</v>
      </c>
      <c r="F19" t="s">
        <v>111</v>
      </c>
      <c r="G19" s="60" t="s">
        <v>121</v>
      </c>
    </row>
    <row r="20" spans="1:7">
      <c r="A20" t="s">
        <v>86</v>
      </c>
      <c r="B20" s="59">
        <v>40746</v>
      </c>
      <c r="C20">
        <v>6639411</v>
      </c>
      <c r="D20">
        <v>580932</v>
      </c>
      <c r="E20" t="s">
        <v>112</v>
      </c>
      <c r="F20" t="s">
        <v>111</v>
      </c>
    </row>
    <row r="21" spans="1:7">
      <c r="A21" t="s">
        <v>87</v>
      </c>
      <c r="B21" s="59" t="s">
        <v>115</v>
      </c>
      <c r="G21" s="60" t="s">
        <v>135</v>
      </c>
    </row>
    <row r="22" spans="1:7" s="94" customFormat="1">
      <c r="A22" s="94" t="s">
        <v>88</v>
      </c>
      <c r="B22" s="95">
        <v>40752</v>
      </c>
      <c r="C22" s="94">
        <v>6641216</v>
      </c>
      <c r="D22" s="94">
        <v>579857</v>
      </c>
      <c r="E22" s="94" t="s">
        <v>114</v>
      </c>
      <c r="F22" s="94" t="s">
        <v>111</v>
      </c>
      <c r="G22" s="60" t="s">
        <v>318</v>
      </c>
    </row>
    <row r="23" spans="1:7" ht="24.75">
      <c r="A23" t="s">
        <v>89</v>
      </c>
      <c r="B23" s="59" t="s">
        <v>115</v>
      </c>
      <c r="F23" t="s">
        <v>111</v>
      </c>
      <c r="G23" s="60" t="s">
        <v>122</v>
      </c>
    </row>
    <row r="24" spans="1:7">
      <c r="A24" t="s">
        <v>90</v>
      </c>
      <c r="B24" s="59">
        <v>40751</v>
      </c>
      <c r="C24">
        <v>6635803</v>
      </c>
      <c r="D24">
        <v>576873</v>
      </c>
      <c r="E24" t="s">
        <v>112</v>
      </c>
      <c r="F24" t="s">
        <v>111</v>
      </c>
    </row>
    <row r="25" spans="1:7" s="94" customFormat="1" ht="24.75">
      <c r="A25" s="94" t="s">
        <v>91</v>
      </c>
      <c r="B25" s="95">
        <v>40771</v>
      </c>
      <c r="C25" s="94">
        <v>6621652</v>
      </c>
      <c r="D25" s="94">
        <v>582745</v>
      </c>
      <c r="E25" s="94" t="s">
        <v>114</v>
      </c>
      <c r="F25" s="94" t="s">
        <v>111</v>
      </c>
      <c r="G25" s="60" t="s">
        <v>319</v>
      </c>
    </row>
    <row r="26" spans="1:7">
      <c r="A26" t="s">
        <v>92</v>
      </c>
      <c r="B26" s="59">
        <v>40764</v>
      </c>
      <c r="C26">
        <v>6644473</v>
      </c>
      <c r="D26">
        <v>590649</v>
      </c>
      <c r="E26" t="s">
        <v>112</v>
      </c>
      <c r="F26" s="96" t="s">
        <v>111</v>
      </c>
    </row>
    <row r="27" spans="1:7">
      <c r="A27" t="s">
        <v>93</v>
      </c>
      <c r="B27" s="59">
        <v>40767</v>
      </c>
      <c r="C27">
        <v>6649246</v>
      </c>
      <c r="D27">
        <v>579591</v>
      </c>
      <c r="E27" t="s">
        <v>112</v>
      </c>
      <c r="F27" t="s">
        <v>111</v>
      </c>
      <c r="G27" s="60" t="s">
        <v>123</v>
      </c>
    </row>
    <row r="28" spans="1:7">
      <c r="A28" t="s">
        <v>94</v>
      </c>
      <c r="B28" s="59" t="s">
        <v>115</v>
      </c>
      <c r="F28" t="s">
        <v>111</v>
      </c>
      <c r="G28" s="60" t="s">
        <v>136</v>
      </c>
    </row>
    <row r="29" spans="1:7">
      <c r="A29" t="s">
        <v>95</v>
      </c>
      <c r="B29" s="59">
        <v>40736</v>
      </c>
      <c r="C29">
        <v>6651082</v>
      </c>
      <c r="D29">
        <v>599065</v>
      </c>
      <c r="E29" t="s">
        <v>112</v>
      </c>
      <c r="F29" t="s">
        <v>111</v>
      </c>
    </row>
    <row r="30" spans="1:7">
      <c r="A30" t="s">
        <v>96</v>
      </c>
      <c r="B30" s="59" t="s">
        <v>115</v>
      </c>
      <c r="F30" t="s">
        <v>111</v>
      </c>
      <c r="G30" s="60" t="s">
        <v>137</v>
      </c>
    </row>
    <row r="31" spans="1:7">
      <c r="A31" t="s">
        <v>97</v>
      </c>
      <c r="B31" s="59">
        <v>40768</v>
      </c>
      <c r="C31">
        <v>6649105</v>
      </c>
      <c r="D31">
        <v>581132</v>
      </c>
      <c r="E31" t="s">
        <v>112</v>
      </c>
      <c r="F31" t="s">
        <v>111</v>
      </c>
      <c r="G31" s="60" t="s">
        <v>124</v>
      </c>
    </row>
    <row r="32" spans="1:7">
      <c r="A32" t="s">
        <v>98</v>
      </c>
      <c r="B32" s="59" t="s">
        <v>115</v>
      </c>
      <c r="F32" t="s">
        <v>111</v>
      </c>
      <c r="G32" s="60" t="s">
        <v>138</v>
      </c>
    </row>
    <row r="33" spans="1:8">
      <c r="A33" t="s">
        <v>99</v>
      </c>
      <c r="B33" s="59" t="s">
        <v>115</v>
      </c>
      <c r="G33" s="60" t="s">
        <v>126</v>
      </c>
    </row>
    <row r="34" spans="1:8">
      <c r="A34" t="s">
        <v>100</v>
      </c>
      <c r="F34" t="s">
        <v>111</v>
      </c>
      <c r="G34" s="60" t="s">
        <v>129</v>
      </c>
    </row>
    <row r="35" spans="1:8" ht="24.75">
      <c r="A35" t="s">
        <v>101</v>
      </c>
      <c r="B35" s="59" t="s">
        <v>115</v>
      </c>
      <c r="F35" t="s">
        <v>111</v>
      </c>
      <c r="G35" s="60" t="s">
        <v>320</v>
      </c>
    </row>
    <row r="36" spans="1:8">
      <c r="A36" t="s">
        <v>102</v>
      </c>
      <c r="B36" s="59" t="s">
        <v>115</v>
      </c>
      <c r="F36" t="s">
        <v>111</v>
      </c>
      <c r="G36" s="60" t="s">
        <v>127</v>
      </c>
    </row>
    <row r="37" spans="1:8">
      <c r="A37" t="s">
        <v>103</v>
      </c>
      <c r="B37" s="59" t="s">
        <v>115</v>
      </c>
      <c r="F37" t="s">
        <v>111</v>
      </c>
      <c r="G37" s="60" t="s">
        <v>128</v>
      </c>
    </row>
    <row r="38" spans="1:8">
      <c r="A38" t="s">
        <v>104</v>
      </c>
      <c r="B38" s="59" t="s">
        <v>115</v>
      </c>
      <c r="F38" t="s">
        <v>111</v>
      </c>
      <c r="G38" s="60" t="s">
        <v>129</v>
      </c>
    </row>
    <row r="39" spans="1:8">
      <c r="A39" t="s">
        <v>105</v>
      </c>
      <c r="B39" s="59" t="s">
        <v>115</v>
      </c>
      <c r="F39" t="s">
        <v>111</v>
      </c>
      <c r="G39" s="60" t="s">
        <v>126</v>
      </c>
    </row>
    <row r="40" spans="1:8">
      <c r="A40" t="s">
        <v>106</v>
      </c>
      <c r="B40" s="59" t="s">
        <v>115</v>
      </c>
      <c r="G40" s="60" t="s">
        <v>126</v>
      </c>
    </row>
    <row r="41" spans="1:8" ht="24.75">
      <c r="A41" t="s">
        <v>107</v>
      </c>
      <c r="B41" s="59" t="s">
        <v>115</v>
      </c>
      <c r="F41" t="s">
        <v>111</v>
      </c>
      <c r="G41" s="60" t="s">
        <v>125</v>
      </c>
    </row>
    <row r="42" spans="1:8" s="94" customFormat="1">
      <c r="A42" s="94" t="s">
        <v>108</v>
      </c>
      <c r="B42" s="95">
        <v>40756</v>
      </c>
      <c r="C42" s="94">
        <v>663137</v>
      </c>
      <c r="D42" s="94">
        <v>569717</v>
      </c>
      <c r="E42" s="94" t="s">
        <v>114</v>
      </c>
      <c r="F42" s="94" t="s">
        <v>111</v>
      </c>
      <c r="G42" s="60" t="s">
        <v>318</v>
      </c>
    </row>
    <row r="43" spans="1:8" ht="24.75">
      <c r="A43" t="s">
        <v>109</v>
      </c>
      <c r="B43" s="59">
        <v>40773</v>
      </c>
      <c r="C43">
        <v>6660287</v>
      </c>
      <c r="D43">
        <v>596060</v>
      </c>
      <c r="E43" t="s">
        <v>112</v>
      </c>
      <c r="F43" t="s">
        <v>111</v>
      </c>
      <c r="G43" s="60" t="s">
        <v>130</v>
      </c>
    </row>
    <row r="44" spans="1:8" s="96" customFormat="1">
      <c r="A44" s="96" t="s">
        <v>110</v>
      </c>
      <c r="B44" s="97">
        <v>40773</v>
      </c>
      <c r="C44" s="96">
        <v>6630697</v>
      </c>
      <c r="D44" s="96">
        <v>567558</v>
      </c>
      <c r="E44" s="96" t="s">
        <v>114</v>
      </c>
      <c r="F44" s="96" t="s">
        <v>111</v>
      </c>
      <c r="G44" s="98" t="s">
        <v>321</v>
      </c>
    </row>
    <row r="45" spans="1:8" s="65" customFormat="1">
      <c r="B45" s="99"/>
      <c r="G45" s="100"/>
    </row>
    <row r="46" spans="1:8" s="65" customFormat="1">
      <c r="B46" s="99"/>
      <c r="G46" s="100"/>
    </row>
    <row r="47" spans="1:8">
      <c r="A47" s="132"/>
      <c r="B47" s="132"/>
      <c r="C47" s="132"/>
      <c r="D47" s="132"/>
      <c r="E47" s="132"/>
      <c r="F47" s="132"/>
      <c r="G47" s="132"/>
      <c r="H47" s="64"/>
    </row>
    <row r="48" spans="1:8">
      <c r="A48" s="64"/>
      <c r="B48" s="101"/>
      <c r="C48" s="64"/>
      <c r="D48" s="64"/>
      <c r="E48" s="64"/>
      <c r="F48" s="64"/>
      <c r="G48" s="98"/>
      <c r="H48" s="64"/>
    </row>
  </sheetData>
  <mergeCells count="1">
    <mergeCell ref="A47:G47"/>
  </mergeCells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A18" sqref="A18:XFD18"/>
    </sheetView>
  </sheetViews>
  <sheetFormatPr defaultRowHeight="15"/>
  <cols>
    <col min="1" max="1" width="14.5703125" customWidth="1"/>
    <col min="2" max="2" width="13.5703125" customWidth="1"/>
    <col min="3" max="3" width="16" style="59" customWidth="1"/>
    <col min="4" max="4" width="16" style="76" customWidth="1"/>
    <col min="5" max="5" width="15.85546875" style="51" customWidth="1"/>
    <col min="6" max="6" width="15.85546875" style="75" customWidth="1"/>
    <col min="7" max="7" width="15.85546875" style="52" customWidth="1"/>
    <col min="8" max="8" width="17.42578125" customWidth="1"/>
    <col min="9" max="9" width="19" style="46" bestFit="1" customWidth="1"/>
    <col min="11" max="11" width="12.28515625" customWidth="1"/>
    <col min="12" max="12" width="11.28515625" customWidth="1"/>
    <col min="13" max="13" width="13.5703125" style="5" customWidth="1"/>
    <col min="14" max="14" width="15.42578125" style="43" customWidth="1"/>
    <col min="15" max="15" width="18.140625" style="11" bestFit="1" customWidth="1"/>
    <col min="16" max="16" width="10.7109375" style="8" bestFit="1" customWidth="1"/>
    <col min="17" max="17" width="11" style="8" bestFit="1" customWidth="1"/>
    <col min="18" max="18" width="9.140625" style="49" customWidth="1"/>
  </cols>
  <sheetData>
    <row r="1" spans="1:19" s="38" customFormat="1" ht="15.75">
      <c r="C1" s="71"/>
      <c r="D1" s="137" t="s">
        <v>1</v>
      </c>
      <c r="E1" s="137"/>
      <c r="F1" s="137"/>
      <c r="G1" s="138"/>
      <c r="I1" s="133" t="s">
        <v>6</v>
      </c>
      <c r="J1" s="134"/>
      <c r="K1" s="134"/>
      <c r="L1" s="134"/>
      <c r="M1" s="135"/>
      <c r="N1" s="134" t="s">
        <v>17</v>
      </c>
      <c r="O1" s="134"/>
      <c r="P1" s="134"/>
      <c r="Q1" s="134"/>
      <c r="R1" s="136"/>
    </row>
    <row r="2" spans="1:19" s="2" customFormat="1" ht="15.75">
      <c r="A2" s="35" t="s">
        <v>0</v>
      </c>
      <c r="B2" s="35" t="s">
        <v>18</v>
      </c>
      <c r="C2" s="72" t="s">
        <v>4</v>
      </c>
      <c r="D2" s="139" t="s">
        <v>2</v>
      </c>
      <c r="E2" s="139"/>
      <c r="F2" s="139" t="s">
        <v>3</v>
      </c>
      <c r="G2" s="139"/>
      <c r="H2" s="53" t="s">
        <v>5</v>
      </c>
      <c r="I2" s="44" t="s">
        <v>7</v>
      </c>
      <c r="J2" s="3" t="s">
        <v>8</v>
      </c>
      <c r="K2" s="3" t="s">
        <v>9</v>
      </c>
      <c r="L2" s="3" t="s">
        <v>10</v>
      </c>
      <c r="M2" s="39" t="s">
        <v>11</v>
      </c>
      <c r="N2" s="41" t="s">
        <v>12</v>
      </c>
      <c r="O2" s="9" t="s">
        <v>13</v>
      </c>
      <c r="P2" s="6" t="s">
        <v>14</v>
      </c>
      <c r="Q2" s="6" t="s">
        <v>15</v>
      </c>
      <c r="R2" s="47" t="s">
        <v>16</v>
      </c>
    </row>
    <row r="3" spans="1:19">
      <c r="A3" s="1" t="str">
        <f>'Site summary sheet'!A2</f>
        <v>V01</v>
      </c>
      <c r="B3" s="1" t="s">
        <v>259</v>
      </c>
      <c r="C3" s="73">
        <f>'Site summary sheet'!B2</f>
        <v>40722</v>
      </c>
      <c r="D3" s="74">
        <f>'Site summary sheet'!C2</f>
        <v>0</v>
      </c>
      <c r="E3" s="50">
        <f>'Site summary sheet'!D2</f>
        <v>0</v>
      </c>
      <c r="F3" s="74"/>
      <c r="G3" s="14"/>
      <c r="H3" s="25" t="s">
        <v>276</v>
      </c>
      <c r="I3" s="45" t="s">
        <v>195</v>
      </c>
      <c r="J3" s="1" t="s">
        <v>255</v>
      </c>
      <c r="K3" s="1" t="s">
        <v>250</v>
      </c>
      <c r="L3" s="1"/>
      <c r="M3" s="40">
        <v>0.4368055555555555</v>
      </c>
      <c r="N3" s="42">
        <v>5.6</v>
      </c>
      <c r="O3" s="10">
        <v>38.5</v>
      </c>
      <c r="P3" s="7"/>
      <c r="Q3" s="7"/>
      <c r="R3" s="48"/>
    </row>
    <row r="4" spans="1:19">
      <c r="A4" s="1" t="str">
        <f>'Site summary sheet'!A3</f>
        <v>V02</v>
      </c>
      <c r="B4" s="1" t="s">
        <v>259</v>
      </c>
      <c r="C4" s="73">
        <f>'Site summary sheet'!B3</f>
        <v>40723</v>
      </c>
      <c r="D4" s="74">
        <f>'Site summary sheet'!C3</f>
        <v>6620600</v>
      </c>
      <c r="E4" s="50">
        <f>'Site summary sheet'!D3</f>
        <v>574374</v>
      </c>
      <c r="F4" s="94">
        <v>6620068</v>
      </c>
      <c r="G4" s="94">
        <v>574453</v>
      </c>
      <c r="H4" s="25" t="s">
        <v>178</v>
      </c>
      <c r="I4" s="45" t="s">
        <v>195</v>
      </c>
      <c r="J4" s="1" t="s">
        <v>197</v>
      </c>
      <c r="K4" s="1" t="s">
        <v>196</v>
      </c>
      <c r="L4" s="1"/>
      <c r="M4" s="40">
        <v>0.41666666666666669</v>
      </c>
      <c r="N4" s="42">
        <v>6.06</v>
      </c>
      <c r="O4" s="10">
        <v>64</v>
      </c>
      <c r="P4" s="7">
        <v>13.3</v>
      </c>
      <c r="Q4" s="7">
        <v>106.9</v>
      </c>
      <c r="R4" s="48">
        <v>7.11</v>
      </c>
    </row>
    <row r="5" spans="1:19">
      <c r="A5" s="1" t="str">
        <f>'Site summary sheet'!A4</f>
        <v>V03</v>
      </c>
      <c r="B5" s="1" t="s">
        <v>259</v>
      </c>
      <c r="C5" s="73">
        <f>'Site summary sheet'!B4</f>
        <v>40729</v>
      </c>
      <c r="D5" s="74">
        <f>'Site summary sheet'!C4</f>
        <v>6619804</v>
      </c>
      <c r="E5" s="50">
        <f>'Site summary sheet'!D4</f>
        <v>573199</v>
      </c>
      <c r="F5" s="74">
        <v>6619712</v>
      </c>
      <c r="G5" s="14">
        <v>573254</v>
      </c>
      <c r="H5" s="175" t="s">
        <v>326</v>
      </c>
      <c r="I5" s="45" t="s">
        <v>253</v>
      </c>
      <c r="J5" s="1" t="s">
        <v>197</v>
      </c>
      <c r="K5" s="1" t="s">
        <v>250</v>
      </c>
      <c r="L5" s="1"/>
      <c r="M5" s="40">
        <v>0.39374999999999999</v>
      </c>
      <c r="N5" s="42">
        <v>4.9000000000000004</v>
      </c>
      <c r="O5" s="10">
        <v>58</v>
      </c>
      <c r="P5" s="7">
        <v>12.69</v>
      </c>
      <c r="Q5" s="7">
        <v>99.4</v>
      </c>
      <c r="R5" s="48"/>
      <c r="S5" t="s">
        <v>277</v>
      </c>
    </row>
    <row r="6" spans="1:19">
      <c r="A6" s="1" t="str">
        <f>'Site summary sheet'!A5</f>
        <v>V04</v>
      </c>
      <c r="B6" s="1" t="s">
        <v>259</v>
      </c>
      <c r="C6" s="73">
        <f>'Site summary sheet'!B5</f>
        <v>40730</v>
      </c>
      <c r="D6" s="74">
        <f>'Site summary sheet'!C5</f>
        <v>6621345</v>
      </c>
      <c r="E6" s="50">
        <f>'Site summary sheet'!D5</f>
        <v>576660</v>
      </c>
      <c r="F6" s="74">
        <v>6621454</v>
      </c>
      <c r="G6" s="14">
        <v>576665</v>
      </c>
      <c r="H6" s="25" t="s">
        <v>257</v>
      </c>
      <c r="I6" s="45" t="s">
        <v>195</v>
      </c>
      <c r="J6" s="1" t="s">
        <v>197</v>
      </c>
      <c r="K6" s="1" t="s">
        <v>197</v>
      </c>
      <c r="L6" s="1"/>
      <c r="M6" s="40">
        <v>0.40069444444444446</v>
      </c>
      <c r="N6" s="42">
        <v>5.0999999999999996</v>
      </c>
      <c r="O6" s="10">
        <v>64.2</v>
      </c>
      <c r="P6" s="7">
        <v>12.53</v>
      </c>
      <c r="Q6" s="7">
        <v>98.5</v>
      </c>
      <c r="R6" s="48"/>
    </row>
    <row r="7" spans="1:19">
      <c r="A7" s="1" t="str">
        <f>'Site summary sheet'!A6</f>
        <v>V05</v>
      </c>
      <c r="B7" s="1" t="s">
        <v>261</v>
      </c>
      <c r="C7" s="73">
        <f>'Site summary sheet'!B6</f>
        <v>40731</v>
      </c>
      <c r="D7" s="74">
        <f>'Site summary sheet'!C6</f>
        <v>6624361</v>
      </c>
      <c r="E7" s="50">
        <f>'Site summary sheet'!D6</f>
        <v>572317</v>
      </c>
      <c r="F7" s="74">
        <v>6624419</v>
      </c>
      <c r="G7" s="14">
        <v>572281</v>
      </c>
      <c r="H7" s="25" t="s">
        <v>262</v>
      </c>
      <c r="I7" s="45" t="s">
        <v>263</v>
      </c>
      <c r="J7" s="1" t="s">
        <v>197</v>
      </c>
      <c r="K7" s="1" t="s">
        <v>197</v>
      </c>
      <c r="L7" s="1"/>
      <c r="M7" s="40">
        <v>0.4236111111111111</v>
      </c>
      <c r="N7" s="42">
        <v>7.01</v>
      </c>
      <c r="O7" s="10">
        <v>69</v>
      </c>
      <c r="P7" s="7">
        <v>13.68</v>
      </c>
      <c r="Q7" s="7">
        <v>113</v>
      </c>
      <c r="R7" s="48">
        <v>7.55</v>
      </c>
    </row>
    <row r="8" spans="1:19">
      <c r="A8" s="1" t="str">
        <f>'Site summary sheet'!A7</f>
        <v>V06</v>
      </c>
      <c r="B8" s="1" t="s">
        <v>261</v>
      </c>
      <c r="C8" s="73">
        <f>'Site summary sheet'!B7</f>
        <v>40735</v>
      </c>
      <c r="D8" s="74">
        <f>'Site summary sheet'!C7</f>
        <v>6630021</v>
      </c>
      <c r="E8" s="50">
        <f>'Site summary sheet'!D7</f>
        <v>583463</v>
      </c>
      <c r="F8" s="94">
        <v>6630075</v>
      </c>
      <c r="G8" s="94">
        <v>583540</v>
      </c>
      <c r="H8" s="25" t="s">
        <v>322</v>
      </c>
      <c r="I8" s="45" t="s">
        <v>195</v>
      </c>
      <c r="J8" s="1" t="s">
        <v>197</v>
      </c>
      <c r="K8" s="1" t="s">
        <v>250</v>
      </c>
      <c r="L8" s="1"/>
      <c r="M8" s="40">
        <v>0.43541666666666662</v>
      </c>
      <c r="N8" s="42">
        <v>6.12</v>
      </c>
      <c r="O8" s="10">
        <v>59</v>
      </c>
      <c r="P8" s="7">
        <v>14.38</v>
      </c>
      <c r="Q8" s="7">
        <v>116.4</v>
      </c>
      <c r="R8" s="48">
        <v>7.5</v>
      </c>
    </row>
    <row r="9" spans="1:19">
      <c r="A9" s="1" t="str">
        <f>'Site summary sheet'!A8</f>
        <v>V07</v>
      </c>
      <c r="B9" s="1" t="s">
        <v>261</v>
      </c>
      <c r="C9" s="73">
        <f>'Site summary sheet'!B8</f>
        <v>40735</v>
      </c>
      <c r="D9" s="74">
        <f>'Site summary sheet'!C8</f>
        <v>6632556</v>
      </c>
      <c r="E9" s="50">
        <f>'Site summary sheet'!D8</f>
        <v>578209</v>
      </c>
      <c r="F9" s="74">
        <v>6632644</v>
      </c>
      <c r="G9" s="14">
        <v>578194</v>
      </c>
      <c r="H9" s="25" t="s">
        <v>270</v>
      </c>
      <c r="I9" s="45" t="s">
        <v>195</v>
      </c>
      <c r="J9" s="1" t="s">
        <v>197</v>
      </c>
      <c r="K9" s="1" t="s">
        <v>197</v>
      </c>
      <c r="L9" s="1"/>
      <c r="M9" s="40">
        <v>0.38541666666666669</v>
      </c>
      <c r="N9" s="42">
        <v>7.9</v>
      </c>
      <c r="O9" s="10">
        <v>52.8</v>
      </c>
      <c r="P9" s="7">
        <v>10.88</v>
      </c>
      <c r="Q9" s="7">
        <v>93.1</v>
      </c>
      <c r="R9" s="48"/>
    </row>
    <row r="10" spans="1:19">
      <c r="A10" s="1" t="str">
        <f>'Site summary sheet'!A10</f>
        <v>V09</v>
      </c>
      <c r="B10" s="1" t="s">
        <v>282</v>
      </c>
      <c r="C10" s="73">
        <f>'Site summary sheet'!B10</f>
        <v>40736</v>
      </c>
      <c r="D10" s="74">
        <f>'Site summary sheet'!C10</f>
        <v>6639833</v>
      </c>
      <c r="E10" s="50">
        <f>'Site summary sheet'!D10</f>
        <v>571761</v>
      </c>
      <c r="F10" s="74"/>
      <c r="G10" s="14"/>
      <c r="H10" s="25" t="s">
        <v>283</v>
      </c>
      <c r="I10" s="45" t="s">
        <v>195</v>
      </c>
      <c r="J10" s="1" t="s">
        <v>255</v>
      </c>
      <c r="K10" s="1" t="s">
        <v>250</v>
      </c>
      <c r="L10" s="1">
        <v>13.21</v>
      </c>
      <c r="M10" s="40"/>
      <c r="N10" s="42">
        <v>6.53</v>
      </c>
      <c r="O10" s="10">
        <v>73</v>
      </c>
      <c r="P10" s="7">
        <v>12.47</v>
      </c>
      <c r="Q10" s="7">
        <v>101.5</v>
      </c>
      <c r="R10" s="48">
        <v>7.05</v>
      </c>
      <c r="S10" s="1"/>
    </row>
    <row r="11" spans="1:19">
      <c r="A11" s="1" t="str">
        <f>'Site summary sheet'!A13</f>
        <v>V12</v>
      </c>
      <c r="B11" s="1" t="s">
        <v>288</v>
      </c>
      <c r="C11" s="73">
        <f>'Site summary sheet'!B13</f>
        <v>40738</v>
      </c>
      <c r="D11" s="74">
        <f>'Site summary sheet'!C13</f>
        <v>0</v>
      </c>
      <c r="E11" s="50">
        <f>'Site summary sheet'!D13</f>
        <v>0</v>
      </c>
      <c r="F11" s="74"/>
      <c r="G11" s="14"/>
      <c r="H11" s="25" t="s">
        <v>313</v>
      </c>
      <c r="I11" s="45" t="s">
        <v>232</v>
      </c>
      <c r="J11" s="1" t="s">
        <v>197</v>
      </c>
      <c r="K11" s="1" t="s">
        <v>250</v>
      </c>
      <c r="L11" s="1"/>
      <c r="M11" s="40">
        <v>0.38541666666666669</v>
      </c>
      <c r="N11" s="42">
        <v>9.8699999999999992</v>
      </c>
      <c r="O11" s="10">
        <v>61</v>
      </c>
      <c r="P11" s="7">
        <v>10.97</v>
      </c>
      <c r="Q11" s="7">
        <v>96.4</v>
      </c>
      <c r="R11" s="48">
        <v>7.54</v>
      </c>
    </row>
    <row r="12" spans="1:19">
      <c r="A12" s="1" t="str">
        <f>'Site summary sheet'!A14</f>
        <v>V13</v>
      </c>
      <c r="B12" s="1" t="s">
        <v>288</v>
      </c>
      <c r="C12" s="73">
        <f>'Site summary sheet'!B14</f>
        <v>40739</v>
      </c>
      <c r="D12" s="74">
        <f>'Site summary sheet'!C14</f>
        <v>6658334</v>
      </c>
      <c r="E12" s="50">
        <f>'Site summary sheet'!D14</f>
        <v>596086</v>
      </c>
      <c r="F12" s="74">
        <v>6658250</v>
      </c>
      <c r="G12" s="14">
        <v>596088</v>
      </c>
      <c r="H12" s="25" t="s">
        <v>168</v>
      </c>
      <c r="I12" s="45" t="s">
        <v>253</v>
      </c>
      <c r="J12" s="1" t="s">
        <v>197</v>
      </c>
      <c r="K12" s="1" t="s">
        <v>197</v>
      </c>
      <c r="L12" s="1"/>
      <c r="M12" s="40">
        <v>0.39583333333333331</v>
      </c>
      <c r="N12" s="42">
        <v>5.18</v>
      </c>
      <c r="O12" s="10">
        <v>53</v>
      </c>
      <c r="P12" s="7">
        <v>12.61</v>
      </c>
      <c r="Q12" s="7">
        <v>99.3</v>
      </c>
      <c r="R12" s="48">
        <v>7.44</v>
      </c>
    </row>
    <row r="13" spans="1:19">
      <c r="A13" s="1" t="str">
        <f>'Site summary sheet'!A17</f>
        <v>V16</v>
      </c>
      <c r="B13" s="1" t="s">
        <v>261</v>
      </c>
      <c r="C13" s="73">
        <f>'Site summary sheet'!B17</f>
        <v>40745</v>
      </c>
      <c r="D13" s="74">
        <f>'Site summary sheet'!C17</f>
        <v>6632183</v>
      </c>
      <c r="E13" s="50">
        <f>'Site summary sheet'!D17</f>
        <v>578815</v>
      </c>
      <c r="F13" s="74">
        <v>6632149</v>
      </c>
      <c r="G13" s="14">
        <v>578879</v>
      </c>
      <c r="H13" s="25" t="s">
        <v>302</v>
      </c>
      <c r="I13" s="45" t="s">
        <v>195</v>
      </c>
      <c r="J13" s="1" t="s">
        <v>196</v>
      </c>
      <c r="K13" s="1" t="s">
        <v>250</v>
      </c>
      <c r="L13" s="1"/>
      <c r="M13" s="40">
        <v>0.375</v>
      </c>
      <c r="N13" s="42">
        <v>6.77</v>
      </c>
      <c r="O13" s="10">
        <v>86</v>
      </c>
      <c r="P13" s="7">
        <v>11.06</v>
      </c>
      <c r="Q13" s="7">
        <v>90.6</v>
      </c>
      <c r="R13" s="48">
        <v>7.69</v>
      </c>
    </row>
    <row r="14" spans="1:19">
      <c r="A14" s="1" t="str">
        <f>'Site summary sheet'!A18</f>
        <v>V17</v>
      </c>
      <c r="B14" s="1" t="s">
        <v>259</v>
      </c>
      <c r="C14" s="73">
        <f>'Site summary sheet'!B18</f>
        <v>40743</v>
      </c>
      <c r="D14" s="74">
        <f>'Site summary sheet'!C18</f>
        <v>6624177</v>
      </c>
      <c r="E14" s="50">
        <f>'Site summary sheet'!D18</f>
        <v>595824</v>
      </c>
      <c r="F14" s="124"/>
      <c r="G14" s="14"/>
      <c r="H14" s="25" t="s">
        <v>190</v>
      </c>
      <c r="I14" s="45" t="s">
        <v>253</v>
      </c>
      <c r="J14" s="1" t="s">
        <v>197</v>
      </c>
      <c r="K14" s="1" t="s">
        <v>197</v>
      </c>
      <c r="L14" s="1">
        <v>11.8</v>
      </c>
      <c r="M14" s="40">
        <v>0.38680555555555557</v>
      </c>
      <c r="N14" s="42">
        <v>6.85</v>
      </c>
      <c r="O14" s="10">
        <v>51</v>
      </c>
      <c r="P14" s="7">
        <v>11.21</v>
      </c>
      <c r="Q14" s="7">
        <v>91</v>
      </c>
      <c r="R14" s="48">
        <v>7.4</v>
      </c>
    </row>
    <row r="15" spans="1:19">
      <c r="A15" s="1" t="str">
        <f>'Site summary sheet'!A19</f>
        <v>V18</v>
      </c>
      <c r="B15" s="1" t="s">
        <v>259</v>
      </c>
      <c r="C15" s="73">
        <f>'Site summary sheet'!B19</f>
        <v>40750</v>
      </c>
      <c r="D15" s="74">
        <f>'Site summary sheet'!C19</f>
        <v>6624259</v>
      </c>
      <c r="E15" s="50">
        <f>'Site summary sheet'!D19</f>
        <v>596179</v>
      </c>
      <c r="F15" s="124"/>
      <c r="G15" s="14"/>
      <c r="H15" s="25" t="s">
        <v>295</v>
      </c>
      <c r="I15" s="45" t="s">
        <v>263</v>
      </c>
      <c r="J15" s="1" t="s">
        <v>296</v>
      </c>
      <c r="K15" s="1" t="s">
        <v>296</v>
      </c>
      <c r="L15" s="1"/>
      <c r="M15" s="40">
        <v>0.41666666666666669</v>
      </c>
      <c r="N15" s="42">
        <v>6.83</v>
      </c>
      <c r="O15" s="10">
        <v>56</v>
      </c>
      <c r="P15" s="7">
        <v>10.039999999999999</v>
      </c>
      <c r="Q15" s="7">
        <v>82.7</v>
      </c>
      <c r="R15" s="48">
        <v>6.99</v>
      </c>
    </row>
    <row r="16" spans="1:19">
      <c r="A16" s="1" t="str">
        <f>'Site summary sheet'!A20</f>
        <v>V19</v>
      </c>
      <c r="B16" s="1" t="s">
        <v>261</v>
      </c>
      <c r="C16" s="73">
        <f>'Site summary sheet'!B20</f>
        <v>40746</v>
      </c>
      <c r="D16" s="74">
        <f>'Site summary sheet'!C20</f>
        <v>6639411</v>
      </c>
      <c r="E16" s="50">
        <f>'Site summary sheet'!D20</f>
        <v>580932</v>
      </c>
      <c r="F16" s="14"/>
      <c r="G16" s="14"/>
      <c r="H16" s="25" t="s">
        <v>168</v>
      </c>
      <c r="I16" s="45" t="s">
        <v>232</v>
      </c>
      <c r="J16" s="1" t="s">
        <v>197</v>
      </c>
      <c r="K16" s="1" t="s">
        <v>250</v>
      </c>
      <c r="L16" s="1"/>
      <c r="M16" s="40">
        <v>0.39583333333333331</v>
      </c>
      <c r="N16" s="42">
        <v>6.63</v>
      </c>
      <c r="O16" s="10">
        <v>60</v>
      </c>
      <c r="P16" s="7">
        <v>11.17</v>
      </c>
      <c r="Q16" s="7">
        <v>91.1</v>
      </c>
      <c r="R16" s="48">
        <v>7.44</v>
      </c>
      <c r="S16" t="s">
        <v>304</v>
      </c>
    </row>
    <row r="17" spans="1:18">
      <c r="A17" s="1" t="str">
        <f>'Site summary sheet'!A22</f>
        <v>V21</v>
      </c>
      <c r="B17" s="1" t="s">
        <v>261</v>
      </c>
      <c r="C17" s="73">
        <f>'Site summary sheet'!B22</f>
        <v>40752</v>
      </c>
      <c r="D17" s="74">
        <f>'Site summary sheet'!C22</f>
        <v>6641216</v>
      </c>
      <c r="E17" s="50">
        <f>'Site summary sheet'!D22</f>
        <v>579857</v>
      </c>
      <c r="F17" s="74">
        <v>6641174</v>
      </c>
      <c r="G17" s="14">
        <v>579948</v>
      </c>
      <c r="H17" s="25" t="s">
        <v>182</v>
      </c>
      <c r="I17" s="45" t="s">
        <v>253</v>
      </c>
      <c r="J17" s="1" t="s">
        <v>197</v>
      </c>
      <c r="K17" s="1" t="s">
        <v>250</v>
      </c>
      <c r="L17" s="1"/>
      <c r="M17" s="40">
        <v>0.40833333333333338</v>
      </c>
      <c r="N17" s="42">
        <v>6.55</v>
      </c>
      <c r="O17" s="10">
        <v>68</v>
      </c>
      <c r="P17" s="7">
        <v>11.26</v>
      </c>
      <c r="Q17" s="7">
        <v>92.3</v>
      </c>
      <c r="R17" s="48">
        <v>7.45</v>
      </c>
    </row>
    <row r="18" spans="1:18">
      <c r="A18" s="1" t="str">
        <f>'Site summary sheet'!A24</f>
        <v>V23</v>
      </c>
      <c r="B18" s="1" t="s">
        <v>261</v>
      </c>
      <c r="C18" s="73">
        <f>'Site summary sheet'!B24</f>
        <v>40751</v>
      </c>
      <c r="D18" s="74">
        <f>'Site summary sheet'!C24</f>
        <v>6635803</v>
      </c>
      <c r="E18" s="50">
        <f>'Site summary sheet'!D24</f>
        <v>576873</v>
      </c>
      <c r="F18" s="74">
        <v>6635729</v>
      </c>
      <c r="G18" s="14">
        <v>576983</v>
      </c>
      <c r="H18" s="25" t="s">
        <v>249</v>
      </c>
      <c r="I18" s="45" t="s">
        <v>254</v>
      </c>
      <c r="J18" s="1" t="s">
        <v>255</v>
      </c>
      <c r="K18" s="1" t="s">
        <v>196</v>
      </c>
      <c r="L18" s="1"/>
      <c r="M18" s="40">
        <v>0.39583333333333331</v>
      </c>
      <c r="N18" s="42">
        <v>5.91</v>
      </c>
      <c r="O18" s="10">
        <v>70</v>
      </c>
      <c r="P18" s="7">
        <v>11.44</v>
      </c>
      <c r="Q18" s="7">
        <v>91.8</v>
      </c>
      <c r="R18" s="48">
        <v>7.4</v>
      </c>
    </row>
    <row r="19" spans="1:18">
      <c r="A19" s="1" t="str">
        <f>'Site summary sheet'!A25</f>
        <v>V24</v>
      </c>
      <c r="B19" s="1" t="s">
        <v>259</v>
      </c>
      <c r="C19" s="73">
        <f>'Site summary sheet'!B25</f>
        <v>40771</v>
      </c>
      <c r="D19" s="74">
        <f>'Site summary sheet'!C25</f>
        <v>6621652</v>
      </c>
      <c r="E19" s="50">
        <f>'Site summary sheet'!D25</f>
        <v>582745</v>
      </c>
      <c r="F19" s="74">
        <v>6621652</v>
      </c>
      <c r="G19" s="14">
        <v>582819</v>
      </c>
      <c r="H19" s="25" t="s">
        <v>158</v>
      </c>
      <c r="I19" s="45" t="s">
        <v>232</v>
      </c>
      <c r="J19" s="1" t="s">
        <v>197</v>
      </c>
      <c r="K19" s="1" t="s">
        <v>197</v>
      </c>
      <c r="L19" s="1"/>
      <c r="M19" s="40">
        <v>0.45416666666666666</v>
      </c>
      <c r="N19" s="42">
        <v>5.7</v>
      </c>
      <c r="O19" s="10">
        <v>44.5</v>
      </c>
      <c r="P19" s="7">
        <v>11.89</v>
      </c>
      <c r="Q19" s="7">
        <v>96.6</v>
      </c>
      <c r="R19" s="48"/>
    </row>
    <row r="20" spans="1:18">
      <c r="A20" s="1" t="str">
        <f>'Site summary sheet'!A26</f>
        <v>V25</v>
      </c>
      <c r="B20" s="1" t="s">
        <v>288</v>
      </c>
      <c r="C20" s="73">
        <f>'Site summary sheet'!B26</f>
        <v>40764</v>
      </c>
      <c r="D20" s="74">
        <f>'Site summary sheet'!C26</f>
        <v>6644473</v>
      </c>
      <c r="E20" s="50">
        <f>'Site summary sheet'!D26</f>
        <v>590649</v>
      </c>
      <c r="F20" s="74">
        <v>6644583</v>
      </c>
      <c r="G20" s="14">
        <v>590678</v>
      </c>
      <c r="H20" s="25" t="s">
        <v>163</v>
      </c>
      <c r="I20" s="45" t="s">
        <v>246</v>
      </c>
      <c r="J20" s="1" t="s">
        <v>197</v>
      </c>
      <c r="K20" s="1" t="s">
        <v>196</v>
      </c>
      <c r="L20" s="1"/>
      <c r="M20" s="40">
        <v>0.44027777777777777</v>
      </c>
      <c r="N20" s="42">
        <v>6.9</v>
      </c>
      <c r="O20" s="10">
        <v>17.8</v>
      </c>
      <c r="P20" s="7">
        <v>11.79</v>
      </c>
      <c r="Q20" s="7">
        <v>99.7</v>
      </c>
      <c r="R20" s="48"/>
    </row>
    <row r="21" spans="1:18">
      <c r="A21" s="1" t="str">
        <f>'Site summary sheet'!A27</f>
        <v>V26</v>
      </c>
      <c r="B21" s="1" t="s">
        <v>288</v>
      </c>
      <c r="C21" s="73">
        <f>'Site summary sheet'!B27</f>
        <v>40767</v>
      </c>
      <c r="D21" s="74">
        <f>'Site summary sheet'!C27</f>
        <v>6649246</v>
      </c>
      <c r="E21" s="50">
        <f>'Site summary sheet'!D27</f>
        <v>579591</v>
      </c>
      <c r="F21" s="74">
        <v>6649104</v>
      </c>
      <c r="G21" s="14">
        <v>581133</v>
      </c>
      <c r="H21" s="25" t="s">
        <v>231</v>
      </c>
      <c r="I21" s="45" t="s">
        <v>232</v>
      </c>
      <c r="J21" s="1" t="s">
        <v>197</v>
      </c>
      <c r="K21" s="1" t="s">
        <v>197</v>
      </c>
      <c r="L21" s="1"/>
      <c r="M21" s="40">
        <v>0.48680555555555555</v>
      </c>
      <c r="N21" s="42">
        <v>6.1</v>
      </c>
      <c r="O21" s="10">
        <v>41.3</v>
      </c>
      <c r="P21" s="7">
        <v>12.17</v>
      </c>
      <c r="Q21" s="7">
        <v>98.8</v>
      </c>
      <c r="R21" s="48"/>
    </row>
    <row r="22" spans="1:18">
      <c r="A22" s="1" t="str">
        <f>'Site summary sheet'!A29</f>
        <v>V28</v>
      </c>
      <c r="B22" s="1" t="s">
        <v>288</v>
      </c>
      <c r="C22" s="73">
        <f>'Site summary sheet'!B29</f>
        <v>40736</v>
      </c>
      <c r="D22" s="74">
        <f>'Site summary sheet'!C29</f>
        <v>6651082</v>
      </c>
      <c r="E22" s="50">
        <f>'Site summary sheet'!D29</f>
        <v>599065</v>
      </c>
      <c r="F22" s="74">
        <v>6651019</v>
      </c>
      <c r="G22" s="172">
        <v>598985</v>
      </c>
      <c r="H22" s="25" t="s">
        <v>289</v>
      </c>
      <c r="I22" s="45" t="s">
        <v>195</v>
      </c>
      <c r="J22" s="1" t="s">
        <v>255</v>
      </c>
      <c r="K22" s="1" t="s">
        <v>250</v>
      </c>
      <c r="L22" s="1"/>
      <c r="M22" s="40">
        <v>0.43958333333333338</v>
      </c>
      <c r="N22" s="42">
        <v>5.5</v>
      </c>
      <c r="O22" s="10">
        <v>45.5</v>
      </c>
      <c r="P22" s="7">
        <v>11.88</v>
      </c>
      <c r="Q22" s="7">
        <v>97.5</v>
      </c>
      <c r="R22" s="48"/>
    </row>
    <row r="23" spans="1:18">
      <c r="A23" s="1" t="str">
        <f>'Site summary sheet'!A31</f>
        <v>V30</v>
      </c>
      <c r="B23" s="1" t="s">
        <v>288</v>
      </c>
      <c r="C23" s="73">
        <f>'Site summary sheet'!B31</f>
        <v>40768</v>
      </c>
      <c r="D23" s="74">
        <f>'Site summary sheet'!C31</f>
        <v>6649105</v>
      </c>
      <c r="E23" s="50">
        <f>'Site summary sheet'!D31</f>
        <v>581132</v>
      </c>
      <c r="F23" s="74">
        <v>6649031</v>
      </c>
      <c r="G23" s="14">
        <v>581149</v>
      </c>
      <c r="H23" s="25" t="s">
        <v>238</v>
      </c>
      <c r="I23" s="45" t="s">
        <v>232</v>
      </c>
      <c r="J23" s="1" t="s">
        <v>197</v>
      </c>
      <c r="K23" s="1" t="s">
        <v>197</v>
      </c>
      <c r="L23" s="1"/>
      <c r="M23" s="40">
        <v>0.60416666666666663</v>
      </c>
      <c r="N23" s="42">
        <v>7.9</v>
      </c>
      <c r="O23" s="10">
        <v>41.7</v>
      </c>
      <c r="P23" s="7">
        <v>9.9700000000000006</v>
      </c>
      <c r="Q23" s="7">
        <v>84.1</v>
      </c>
      <c r="R23" s="48"/>
    </row>
    <row r="24" spans="1:18">
      <c r="A24" s="1" t="str">
        <f>'Site summary sheet'!A42</f>
        <v>V41</v>
      </c>
      <c r="B24" s="90" t="s">
        <v>261</v>
      </c>
      <c r="C24" s="73">
        <f>'Site summary sheet'!B42</f>
        <v>40756</v>
      </c>
      <c r="D24" s="74">
        <f>'Site summary sheet'!C42</f>
        <v>663137</v>
      </c>
      <c r="E24" s="50">
        <f>'Site summary sheet'!D42</f>
        <v>569717</v>
      </c>
      <c r="F24" s="88">
        <v>6631225</v>
      </c>
      <c r="G24" s="52">
        <v>569801</v>
      </c>
      <c r="H24" s="89" t="s">
        <v>249</v>
      </c>
      <c r="I24" s="46" t="s">
        <v>195</v>
      </c>
      <c r="J24" s="90" t="s">
        <v>197</v>
      </c>
      <c r="K24" s="90" t="s">
        <v>250</v>
      </c>
      <c r="M24" s="5">
        <v>0.35416666666666669</v>
      </c>
      <c r="N24" s="43">
        <v>8.3000000000000007</v>
      </c>
      <c r="O24" s="11">
        <v>68</v>
      </c>
      <c r="P24" s="8">
        <v>10.210000000000001</v>
      </c>
      <c r="Q24" s="8">
        <v>86.8</v>
      </c>
      <c r="R24" s="49">
        <v>7.19</v>
      </c>
    </row>
    <row r="25" spans="1:18">
      <c r="A25" s="1" t="str">
        <f>'Site summary sheet'!A43</f>
        <v>V42</v>
      </c>
      <c r="B25" t="s">
        <v>323</v>
      </c>
      <c r="C25" s="73">
        <v>40779</v>
      </c>
      <c r="D25" s="74">
        <f>'Site summary sheet'!C43</f>
        <v>6660287</v>
      </c>
      <c r="E25" s="50">
        <f>'Site summary sheet'!D43</f>
        <v>596060</v>
      </c>
      <c r="H25" t="s">
        <v>222</v>
      </c>
      <c r="I25" s="46" t="s">
        <v>195</v>
      </c>
      <c r="J25" t="s">
        <v>197</v>
      </c>
      <c r="K25" t="s">
        <v>196</v>
      </c>
      <c r="N25" s="43">
        <v>6</v>
      </c>
      <c r="O25" s="11">
        <v>54.2</v>
      </c>
      <c r="P25" s="8">
        <v>11.67</v>
      </c>
      <c r="Q25" s="8">
        <v>96.8</v>
      </c>
      <c r="R25" s="49" t="s">
        <v>223</v>
      </c>
    </row>
    <row r="26" spans="1:18">
      <c r="A26" s="1" t="str">
        <f>'Site summary sheet'!A44</f>
        <v>V43</v>
      </c>
      <c r="B26" s="1" t="s">
        <v>261</v>
      </c>
      <c r="C26" s="73">
        <f>'Site summary sheet'!B44</f>
        <v>40773</v>
      </c>
      <c r="D26" s="74">
        <f>'Site summary sheet'!C44</f>
        <v>6630697</v>
      </c>
      <c r="E26" s="50">
        <f>'Site summary sheet'!D44</f>
        <v>567558</v>
      </c>
      <c r="F26" s="74">
        <v>663063</v>
      </c>
      <c r="G26" s="14">
        <v>567474</v>
      </c>
      <c r="H26" s="25" t="s">
        <v>140</v>
      </c>
      <c r="I26" s="45" t="s">
        <v>195</v>
      </c>
      <c r="J26" s="1" t="s">
        <v>196</v>
      </c>
      <c r="K26" s="1" t="s">
        <v>197</v>
      </c>
      <c r="L26" s="1"/>
      <c r="M26" s="40">
        <v>0.45</v>
      </c>
      <c r="N26" s="42"/>
      <c r="O26" s="10"/>
      <c r="P26" s="7"/>
      <c r="Q26" s="7"/>
      <c r="R26" s="48"/>
    </row>
    <row r="27" spans="1:18">
      <c r="A27" s="1"/>
    </row>
    <row r="28" spans="1:18">
      <c r="A28" s="1"/>
    </row>
    <row r="29" spans="1:18">
      <c r="A29" s="1"/>
    </row>
    <row r="30" spans="1:18">
      <c r="A30" s="1"/>
    </row>
    <row r="31" spans="1:18">
      <c r="A31" s="1"/>
    </row>
    <row r="32" spans="1:1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</sheetData>
  <mergeCells count="5">
    <mergeCell ref="I1:M1"/>
    <mergeCell ref="N1:R1"/>
    <mergeCell ref="D1:G1"/>
    <mergeCell ref="D2:E2"/>
    <mergeCell ref="F2:G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89"/>
  <sheetViews>
    <sheetView workbookViewId="0">
      <selection activeCell="A1689" sqref="A1689:XFD1689"/>
    </sheetView>
  </sheetViews>
  <sheetFormatPr defaultRowHeight="15"/>
  <cols>
    <col min="1" max="1" width="11.7109375" style="1" customWidth="1"/>
    <col min="2" max="2" width="12.42578125" style="4" customWidth="1"/>
    <col min="3" max="3" width="17" style="1" bestFit="1" customWidth="1"/>
    <col min="4" max="6" width="9.140625" style="1" customWidth="1"/>
    <col min="7" max="7" width="13.5703125" style="1" bestFit="1" customWidth="1"/>
    <col min="8" max="8" width="11.28515625" style="1" bestFit="1" customWidth="1"/>
    <col min="9" max="9" width="20.42578125" style="1" bestFit="1" customWidth="1"/>
    <col min="10" max="10" width="27.42578125" style="1" customWidth="1"/>
  </cols>
  <sheetData>
    <row r="1" spans="1:10" s="37" customFormat="1" ht="15.75">
      <c r="A1" s="35" t="s">
        <v>0</v>
      </c>
      <c r="B1" s="36" t="s">
        <v>4</v>
      </c>
      <c r="C1" s="35" t="s">
        <v>5</v>
      </c>
      <c r="D1" s="35" t="s">
        <v>19</v>
      </c>
      <c r="E1" s="35" t="s">
        <v>20</v>
      </c>
      <c r="F1" s="35" t="s">
        <v>21</v>
      </c>
      <c r="G1" s="35" t="s">
        <v>22</v>
      </c>
      <c r="H1" s="35" t="s">
        <v>23</v>
      </c>
      <c r="I1" s="66" t="s">
        <v>143</v>
      </c>
      <c r="J1" s="70" t="s">
        <v>151</v>
      </c>
    </row>
    <row r="2" spans="1:10">
      <c r="A2" s="1" t="s">
        <v>110</v>
      </c>
      <c r="B2" s="4">
        <v>40773</v>
      </c>
      <c r="C2" s="1" t="s">
        <v>140</v>
      </c>
      <c r="D2" s="1" t="s">
        <v>141</v>
      </c>
      <c r="E2" s="1">
        <v>1</v>
      </c>
      <c r="F2" s="1" t="s">
        <v>142</v>
      </c>
      <c r="G2" s="1">
        <v>109</v>
      </c>
      <c r="H2" s="1">
        <v>13</v>
      </c>
      <c r="I2" s="1" t="s">
        <v>144</v>
      </c>
    </row>
    <row r="3" spans="1:10">
      <c r="A3" s="1" t="s">
        <v>110</v>
      </c>
      <c r="B3" s="4">
        <v>40773</v>
      </c>
      <c r="C3" s="1" t="s">
        <v>140</v>
      </c>
      <c r="D3" s="1" t="s">
        <v>141</v>
      </c>
      <c r="E3" s="1">
        <v>1</v>
      </c>
      <c r="F3" s="1" t="s">
        <v>142</v>
      </c>
      <c r="G3" s="1">
        <v>47</v>
      </c>
      <c r="H3" s="1">
        <v>0.8</v>
      </c>
      <c r="I3" s="1" t="s">
        <v>144</v>
      </c>
    </row>
    <row r="4" spans="1:10">
      <c r="A4" s="1" t="s">
        <v>110</v>
      </c>
      <c r="B4" s="4">
        <v>40773</v>
      </c>
      <c r="C4" s="1" t="s">
        <v>140</v>
      </c>
      <c r="D4" s="1" t="s">
        <v>141</v>
      </c>
      <c r="E4" s="1">
        <v>1</v>
      </c>
      <c r="F4" s="1" t="s">
        <v>142</v>
      </c>
      <c r="G4" s="1">
        <v>43</v>
      </c>
      <c r="H4" s="1">
        <v>0.6</v>
      </c>
      <c r="I4" s="1" t="s">
        <v>144</v>
      </c>
    </row>
    <row r="5" spans="1:10">
      <c r="A5" s="1" t="s">
        <v>110</v>
      </c>
      <c r="B5" s="4">
        <v>40773</v>
      </c>
      <c r="C5" s="1" t="s">
        <v>140</v>
      </c>
      <c r="D5" s="1" t="s">
        <v>141</v>
      </c>
      <c r="E5" s="1">
        <v>1</v>
      </c>
      <c r="F5" s="1" t="s">
        <v>142</v>
      </c>
      <c r="G5" s="1">
        <v>54</v>
      </c>
      <c r="H5" s="1">
        <v>1.5</v>
      </c>
      <c r="I5" s="1" t="s">
        <v>144</v>
      </c>
    </row>
    <row r="6" spans="1:10">
      <c r="A6" s="1" t="s">
        <v>110</v>
      </c>
      <c r="B6" s="4">
        <v>40773</v>
      </c>
      <c r="C6" s="1" t="s">
        <v>140</v>
      </c>
      <c r="D6" s="1" t="s">
        <v>141</v>
      </c>
      <c r="E6" s="1">
        <v>1</v>
      </c>
      <c r="F6" s="1" t="s">
        <v>142</v>
      </c>
      <c r="G6" s="1">
        <v>46</v>
      </c>
      <c r="H6" s="1">
        <v>0.5</v>
      </c>
      <c r="I6" s="1" t="s">
        <v>144</v>
      </c>
    </row>
    <row r="7" spans="1:10">
      <c r="A7" s="1" t="s">
        <v>110</v>
      </c>
      <c r="B7" s="4">
        <v>40773</v>
      </c>
      <c r="C7" s="1" t="s">
        <v>140</v>
      </c>
      <c r="D7" s="1" t="s">
        <v>141</v>
      </c>
      <c r="E7" s="1">
        <v>1</v>
      </c>
      <c r="F7" s="1" t="s">
        <v>142</v>
      </c>
      <c r="G7" s="1">
        <v>44</v>
      </c>
      <c r="H7" s="1">
        <v>8</v>
      </c>
      <c r="I7" s="1" t="s">
        <v>144</v>
      </c>
    </row>
    <row r="8" spans="1:10">
      <c r="A8" s="1" t="s">
        <v>110</v>
      </c>
      <c r="B8" s="4">
        <v>40773</v>
      </c>
      <c r="C8" s="1" t="s">
        <v>140</v>
      </c>
      <c r="D8" s="1" t="s">
        <v>141</v>
      </c>
      <c r="E8" s="1">
        <v>1</v>
      </c>
      <c r="F8" s="1" t="s">
        <v>142</v>
      </c>
      <c r="G8" s="1">
        <v>36</v>
      </c>
      <c r="H8" s="1">
        <v>0.3</v>
      </c>
      <c r="I8" s="1" t="s">
        <v>144</v>
      </c>
    </row>
    <row r="9" spans="1:10">
      <c r="A9" s="1" t="s">
        <v>110</v>
      </c>
      <c r="B9" s="4">
        <v>40773</v>
      </c>
      <c r="C9" s="1" t="s">
        <v>140</v>
      </c>
      <c r="D9" s="1" t="s">
        <v>141</v>
      </c>
      <c r="E9" s="1">
        <v>1</v>
      </c>
      <c r="F9" s="1" t="s">
        <v>142</v>
      </c>
      <c r="G9" s="1">
        <v>48</v>
      </c>
      <c r="H9" s="1">
        <v>1</v>
      </c>
      <c r="I9" s="1" t="s">
        <v>144</v>
      </c>
    </row>
    <row r="10" spans="1:10">
      <c r="A10" s="1" t="s">
        <v>110</v>
      </c>
      <c r="B10" s="4">
        <v>40773</v>
      </c>
      <c r="C10" s="1" t="s">
        <v>140</v>
      </c>
      <c r="D10" s="1" t="s">
        <v>141</v>
      </c>
      <c r="E10" s="1">
        <v>1</v>
      </c>
      <c r="F10" s="1" t="s">
        <v>142</v>
      </c>
      <c r="G10" s="1">
        <v>47</v>
      </c>
      <c r="H10" s="1">
        <v>0.8</v>
      </c>
      <c r="I10" s="1" t="s">
        <v>144</v>
      </c>
    </row>
    <row r="11" spans="1:10">
      <c r="A11" s="1" t="s">
        <v>110</v>
      </c>
      <c r="B11" s="4">
        <v>40773</v>
      </c>
      <c r="C11" s="1" t="s">
        <v>140</v>
      </c>
      <c r="D11" s="1" t="s">
        <v>141</v>
      </c>
      <c r="E11" s="1">
        <v>1</v>
      </c>
      <c r="F11" s="1" t="s">
        <v>142</v>
      </c>
      <c r="G11" s="1">
        <v>42</v>
      </c>
      <c r="H11" s="1">
        <v>0.4</v>
      </c>
      <c r="I11" s="1" t="s">
        <v>144</v>
      </c>
    </row>
    <row r="12" spans="1:10">
      <c r="A12" s="1" t="s">
        <v>110</v>
      </c>
      <c r="B12" s="4">
        <v>40773</v>
      </c>
      <c r="C12" s="1" t="s">
        <v>140</v>
      </c>
      <c r="D12" s="1" t="s">
        <v>141</v>
      </c>
      <c r="E12" s="1">
        <v>1</v>
      </c>
      <c r="F12" s="1" t="s">
        <v>142</v>
      </c>
      <c r="G12" s="1">
        <v>59</v>
      </c>
      <c r="H12" s="1">
        <v>2</v>
      </c>
      <c r="I12" s="1" t="s">
        <v>144</v>
      </c>
    </row>
    <row r="13" spans="1:10">
      <c r="A13" s="1" t="s">
        <v>110</v>
      </c>
      <c r="B13" s="4">
        <v>40773</v>
      </c>
      <c r="C13" s="1" t="s">
        <v>140</v>
      </c>
      <c r="D13" s="1" t="s">
        <v>141</v>
      </c>
      <c r="E13" s="1">
        <v>1</v>
      </c>
      <c r="F13" s="1" t="s">
        <v>142</v>
      </c>
      <c r="G13" s="1">
        <v>10</v>
      </c>
      <c r="H13" s="1">
        <v>0.5</v>
      </c>
      <c r="I13" s="1" t="s">
        <v>144</v>
      </c>
    </row>
    <row r="14" spans="1:10">
      <c r="A14" s="1" t="s">
        <v>110</v>
      </c>
      <c r="B14" s="4">
        <v>40773</v>
      </c>
      <c r="C14" s="1" t="s">
        <v>140</v>
      </c>
      <c r="D14" s="1" t="s">
        <v>141</v>
      </c>
      <c r="E14" s="1">
        <v>1</v>
      </c>
      <c r="F14" s="1" t="s">
        <v>142</v>
      </c>
      <c r="G14" s="1">
        <v>39</v>
      </c>
      <c r="H14" s="1">
        <v>0.4</v>
      </c>
      <c r="I14" s="1" t="s">
        <v>144</v>
      </c>
    </row>
    <row r="15" spans="1:10">
      <c r="A15" s="1" t="s">
        <v>110</v>
      </c>
      <c r="B15" s="4">
        <v>40773</v>
      </c>
      <c r="C15" s="1" t="s">
        <v>140</v>
      </c>
      <c r="D15" s="1" t="s">
        <v>141</v>
      </c>
      <c r="E15" s="1">
        <v>1</v>
      </c>
      <c r="F15" s="1" t="s">
        <v>142</v>
      </c>
      <c r="G15" s="1">
        <v>42</v>
      </c>
      <c r="H15" s="1">
        <v>0.5</v>
      </c>
      <c r="I15" s="1" t="s">
        <v>144</v>
      </c>
    </row>
    <row r="16" spans="1:10">
      <c r="A16" s="1" t="s">
        <v>110</v>
      </c>
      <c r="B16" s="4">
        <v>40773</v>
      </c>
      <c r="C16" s="1" t="s">
        <v>140</v>
      </c>
      <c r="D16" s="1" t="s">
        <v>141</v>
      </c>
      <c r="E16" s="1">
        <v>1</v>
      </c>
      <c r="F16" s="1" t="s">
        <v>142</v>
      </c>
      <c r="G16" s="1">
        <v>47</v>
      </c>
      <c r="H16" s="1">
        <v>0.6</v>
      </c>
      <c r="I16" s="1" t="s">
        <v>144</v>
      </c>
    </row>
    <row r="17" spans="1:9">
      <c r="A17" s="1" t="s">
        <v>110</v>
      </c>
      <c r="B17" s="4">
        <v>40773</v>
      </c>
      <c r="C17" s="1" t="s">
        <v>140</v>
      </c>
      <c r="D17" s="1" t="s">
        <v>141</v>
      </c>
      <c r="E17" s="1">
        <v>1</v>
      </c>
      <c r="F17" s="1" t="s">
        <v>142</v>
      </c>
      <c r="G17" s="1">
        <v>47</v>
      </c>
      <c r="H17" s="1">
        <v>1</v>
      </c>
      <c r="I17" s="1" t="s">
        <v>144</v>
      </c>
    </row>
    <row r="18" spans="1:9">
      <c r="A18" s="1" t="s">
        <v>110</v>
      </c>
      <c r="B18" s="4">
        <v>40773</v>
      </c>
      <c r="C18" s="1" t="s">
        <v>140</v>
      </c>
      <c r="D18" s="1" t="s">
        <v>141</v>
      </c>
      <c r="E18" s="1">
        <v>1</v>
      </c>
      <c r="F18" s="1" t="s">
        <v>142</v>
      </c>
      <c r="G18" s="1">
        <v>50</v>
      </c>
      <c r="H18" s="1">
        <v>1.3</v>
      </c>
      <c r="I18" s="1" t="s">
        <v>144</v>
      </c>
    </row>
    <row r="19" spans="1:9">
      <c r="A19" s="1" t="s">
        <v>110</v>
      </c>
      <c r="B19" s="4">
        <v>40773</v>
      </c>
      <c r="C19" s="1" t="s">
        <v>140</v>
      </c>
      <c r="D19" s="1" t="s">
        <v>141</v>
      </c>
      <c r="E19" s="1">
        <v>1</v>
      </c>
      <c r="F19" s="1" t="s">
        <v>142</v>
      </c>
      <c r="G19" s="1">
        <v>49</v>
      </c>
      <c r="H19" s="1">
        <v>0.9</v>
      </c>
      <c r="I19" s="1" t="s">
        <v>144</v>
      </c>
    </row>
    <row r="20" spans="1:9">
      <c r="A20" s="1" t="s">
        <v>110</v>
      </c>
      <c r="B20" s="4">
        <v>40773</v>
      </c>
      <c r="C20" s="1" t="s">
        <v>140</v>
      </c>
      <c r="D20" s="1" t="s">
        <v>141</v>
      </c>
      <c r="E20" s="1">
        <v>1</v>
      </c>
      <c r="F20" s="1" t="s">
        <v>142</v>
      </c>
      <c r="G20" s="1">
        <v>41</v>
      </c>
      <c r="H20" s="1">
        <v>0.7</v>
      </c>
      <c r="I20" s="1" t="s">
        <v>144</v>
      </c>
    </row>
    <row r="21" spans="1:9">
      <c r="A21" s="1" t="s">
        <v>110</v>
      </c>
      <c r="B21" s="4">
        <v>40773</v>
      </c>
      <c r="C21" s="1" t="s">
        <v>140</v>
      </c>
      <c r="D21" s="1" t="s">
        <v>141</v>
      </c>
      <c r="E21" s="1">
        <v>1</v>
      </c>
      <c r="F21" s="1" t="s">
        <v>142</v>
      </c>
      <c r="G21" s="1">
        <v>46</v>
      </c>
      <c r="H21" s="1">
        <v>0.8</v>
      </c>
      <c r="I21" s="1" t="s">
        <v>144</v>
      </c>
    </row>
    <row r="22" spans="1:9">
      <c r="A22" s="1" t="s">
        <v>110</v>
      </c>
      <c r="B22" s="4">
        <v>40773</v>
      </c>
      <c r="C22" s="1" t="s">
        <v>140</v>
      </c>
      <c r="D22" s="1" t="s">
        <v>141</v>
      </c>
      <c r="E22" s="1">
        <v>1</v>
      </c>
      <c r="F22" s="1" t="s">
        <v>142</v>
      </c>
      <c r="G22" s="1">
        <v>44</v>
      </c>
      <c r="H22" s="1">
        <v>0.8</v>
      </c>
      <c r="I22" s="1" t="s">
        <v>144</v>
      </c>
    </row>
    <row r="23" spans="1:9">
      <c r="A23" s="1" t="s">
        <v>110</v>
      </c>
      <c r="B23" s="4">
        <v>40773</v>
      </c>
      <c r="C23" s="1" t="s">
        <v>140</v>
      </c>
      <c r="D23" s="1" t="s">
        <v>141</v>
      </c>
      <c r="E23" s="1">
        <v>1</v>
      </c>
      <c r="F23" s="1" t="s">
        <v>142</v>
      </c>
      <c r="G23" s="1">
        <v>45</v>
      </c>
      <c r="H23" s="1">
        <v>0.9</v>
      </c>
      <c r="I23" s="1" t="s">
        <v>144</v>
      </c>
    </row>
    <row r="24" spans="1:9">
      <c r="A24" s="1" t="s">
        <v>110</v>
      </c>
      <c r="B24" s="4">
        <v>40773</v>
      </c>
      <c r="C24" s="1" t="s">
        <v>140</v>
      </c>
      <c r="D24" s="1" t="s">
        <v>141</v>
      </c>
      <c r="E24" s="1">
        <v>1</v>
      </c>
      <c r="F24" s="1" t="s">
        <v>142</v>
      </c>
      <c r="G24" s="1">
        <v>53</v>
      </c>
      <c r="H24" s="1">
        <v>1.2</v>
      </c>
      <c r="I24" s="1" t="s">
        <v>144</v>
      </c>
    </row>
    <row r="25" spans="1:9">
      <c r="A25" s="1" t="s">
        <v>110</v>
      </c>
      <c r="B25" s="4">
        <v>40773</v>
      </c>
      <c r="C25" s="1" t="s">
        <v>140</v>
      </c>
      <c r="D25" s="1" t="s">
        <v>141</v>
      </c>
      <c r="E25" s="1">
        <v>1</v>
      </c>
      <c r="F25" s="1" t="s">
        <v>142</v>
      </c>
      <c r="G25" s="1">
        <v>46</v>
      </c>
      <c r="H25" s="1">
        <v>1</v>
      </c>
      <c r="I25" s="1" t="s">
        <v>144</v>
      </c>
    </row>
    <row r="26" spans="1:9">
      <c r="A26" s="1" t="s">
        <v>110</v>
      </c>
      <c r="B26" s="4">
        <v>40773</v>
      </c>
      <c r="C26" s="1" t="s">
        <v>140</v>
      </c>
      <c r="D26" s="1" t="s">
        <v>141</v>
      </c>
      <c r="E26" s="1">
        <v>1</v>
      </c>
      <c r="F26" s="1" t="s">
        <v>142</v>
      </c>
      <c r="G26" s="1">
        <v>46</v>
      </c>
      <c r="H26" s="1">
        <v>0.7</v>
      </c>
      <c r="I26" s="1" t="s">
        <v>144</v>
      </c>
    </row>
    <row r="27" spans="1:9">
      <c r="A27" s="1" t="s">
        <v>110</v>
      </c>
      <c r="B27" s="4">
        <v>40773</v>
      </c>
      <c r="C27" s="1" t="s">
        <v>140</v>
      </c>
      <c r="D27" s="1" t="s">
        <v>141</v>
      </c>
      <c r="E27" s="1">
        <v>1</v>
      </c>
      <c r="F27" s="1" t="s">
        <v>142</v>
      </c>
      <c r="G27" s="1">
        <v>42</v>
      </c>
      <c r="H27" s="1">
        <v>0.7</v>
      </c>
      <c r="I27" s="1" t="s">
        <v>144</v>
      </c>
    </row>
    <row r="28" spans="1:9">
      <c r="A28" s="1" t="s">
        <v>110</v>
      </c>
      <c r="B28" s="4">
        <v>40773</v>
      </c>
      <c r="C28" s="1" t="s">
        <v>140</v>
      </c>
      <c r="D28" s="1" t="s">
        <v>141</v>
      </c>
      <c r="E28" s="1">
        <v>1</v>
      </c>
      <c r="F28" s="1" t="s">
        <v>142</v>
      </c>
      <c r="G28" s="1">
        <v>38</v>
      </c>
      <c r="H28" s="1">
        <v>0.3</v>
      </c>
      <c r="I28" s="1" t="s">
        <v>144</v>
      </c>
    </row>
    <row r="29" spans="1:9">
      <c r="A29" s="1" t="s">
        <v>110</v>
      </c>
      <c r="B29" s="4">
        <v>40773</v>
      </c>
      <c r="C29" s="1" t="s">
        <v>140</v>
      </c>
      <c r="D29" s="1" t="s">
        <v>141</v>
      </c>
      <c r="E29" s="1">
        <v>1</v>
      </c>
      <c r="F29" s="1" t="s">
        <v>142</v>
      </c>
      <c r="G29" s="1">
        <v>42</v>
      </c>
      <c r="H29" s="1">
        <v>0.6</v>
      </c>
      <c r="I29" s="1" t="s">
        <v>144</v>
      </c>
    </row>
    <row r="30" spans="1:9">
      <c r="A30" s="1" t="s">
        <v>110</v>
      </c>
      <c r="B30" s="4">
        <v>40773</v>
      </c>
      <c r="C30" s="1" t="s">
        <v>140</v>
      </c>
      <c r="D30" s="1" t="s">
        <v>141</v>
      </c>
      <c r="E30" s="1">
        <v>1</v>
      </c>
      <c r="F30" s="1" t="s">
        <v>142</v>
      </c>
      <c r="G30" s="1">
        <v>46</v>
      </c>
      <c r="H30" s="1">
        <v>0.8</v>
      </c>
      <c r="I30" s="1" t="s">
        <v>144</v>
      </c>
    </row>
    <row r="31" spans="1:9">
      <c r="A31" s="1" t="s">
        <v>110</v>
      </c>
      <c r="B31" s="4">
        <v>40773</v>
      </c>
      <c r="C31" s="1" t="s">
        <v>140</v>
      </c>
      <c r="D31" s="1" t="s">
        <v>141</v>
      </c>
      <c r="E31" s="1">
        <v>1</v>
      </c>
      <c r="F31" s="1" t="s">
        <v>142</v>
      </c>
      <c r="G31" s="1">
        <v>47</v>
      </c>
      <c r="H31" s="1">
        <v>0.9</v>
      </c>
      <c r="I31" s="1" t="s">
        <v>144</v>
      </c>
    </row>
    <row r="32" spans="1:9">
      <c r="A32" s="1" t="s">
        <v>110</v>
      </c>
      <c r="B32" s="4">
        <v>40773</v>
      </c>
      <c r="C32" s="1" t="s">
        <v>140</v>
      </c>
      <c r="D32" s="1" t="s">
        <v>141</v>
      </c>
      <c r="E32" s="1">
        <v>1</v>
      </c>
      <c r="F32" s="1" t="s">
        <v>142</v>
      </c>
      <c r="G32" s="1">
        <v>42</v>
      </c>
      <c r="H32" s="1">
        <v>0.6</v>
      </c>
      <c r="I32" s="1" t="s">
        <v>144</v>
      </c>
    </row>
    <row r="33" spans="1:9">
      <c r="A33" s="1" t="s">
        <v>110</v>
      </c>
      <c r="B33" s="4">
        <v>40773</v>
      </c>
      <c r="C33" s="1" t="s">
        <v>140</v>
      </c>
      <c r="D33" s="1" t="s">
        <v>141</v>
      </c>
      <c r="E33" s="1">
        <v>1</v>
      </c>
      <c r="F33" s="1" t="s">
        <v>142</v>
      </c>
      <c r="G33" s="1">
        <v>47</v>
      </c>
      <c r="H33" s="1">
        <v>0.9</v>
      </c>
      <c r="I33" s="1" t="s">
        <v>144</v>
      </c>
    </row>
    <row r="34" spans="1:9">
      <c r="A34" s="1" t="s">
        <v>110</v>
      </c>
      <c r="B34" s="4">
        <v>40773</v>
      </c>
      <c r="C34" s="1" t="s">
        <v>140</v>
      </c>
      <c r="D34" s="1" t="s">
        <v>141</v>
      </c>
      <c r="E34" s="1">
        <v>1</v>
      </c>
      <c r="F34" s="1" t="s">
        <v>142</v>
      </c>
      <c r="G34" s="1">
        <v>48</v>
      </c>
      <c r="H34" s="1">
        <v>1.2</v>
      </c>
      <c r="I34" s="1" t="s">
        <v>144</v>
      </c>
    </row>
    <row r="35" spans="1:9">
      <c r="A35" s="1" t="s">
        <v>110</v>
      </c>
      <c r="B35" s="4">
        <v>40773</v>
      </c>
      <c r="C35" s="1" t="s">
        <v>140</v>
      </c>
      <c r="D35" s="1" t="s">
        <v>141</v>
      </c>
      <c r="E35" s="1">
        <v>1</v>
      </c>
      <c r="F35" s="1" t="s">
        <v>142</v>
      </c>
      <c r="G35" s="1">
        <v>46</v>
      </c>
      <c r="H35" s="1">
        <v>0.8</v>
      </c>
      <c r="I35" s="1" t="s">
        <v>144</v>
      </c>
    </row>
    <row r="36" spans="1:9">
      <c r="A36" s="1" t="s">
        <v>110</v>
      </c>
      <c r="B36" s="4">
        <v>40773</v>
      </c>
      <c r="C36" s="1" t="s">
        <v>140</v>
      </c>
      <c r="D36" s="1" t="s">
        <v>141</v>
      </c>
      <c r="E36" s="1">
        <v>1</v>
      </c>
      <c r="F36" s="1" t="s">
        <v>142</v>
      </c>
      <c r="G36" s="1">
        <v>46</v>
      </c>
      <c r="H36" s="1">
        <v>0.9</v>
      </c>
      <c r="I36" s="1" t="s">
        <v>144</v>
      </c>
    </row>
    <row r="37" spans="1:9">
      <c r="A37" s="1" t="s">
        <v>110</v>
      </c>
      <c r="B37" s="4">
        <v>40773</v>
      </c>
      <c r="C37" s="1" t="s">
        <v>140</v>
      </c>
      <c r="D37" s="1" t="s">
        <v>141</v>
      </c>
      <c r="E37" s="1">
        <v>1</v>
      </c>
      <c r="F37" s="1" t="s">
        <v>142</v>
      </c>
      <c r="G37" s="1">
        <v>50</v>
      </c>
      <c r="H37" s="1">
        <v>1.1000000000000001</v>
      </c>
      <c r="I37" s="1" t="s">
        <v>144</v>
      </c>
    </row>
    <row r="38" spans="1:9">
      <c r="A38" s="1" t="s">
        <v>110</v>
      </c>
      <c r="B38" s="4">
        <v>40773</v>
      </c>
      <c r="C38" s="1" t="s">
        <v>140</v>
      </c>
      <c r="D38" s="1" t="s">
        <v>141</v>
      </c>
      <c r="E38" s="1">
        <v>1</v>
      </c>
      <c r="F38" s="1" t="s">
        <v>142</v>
      </c>
      <c r="G38" s="1">
        <v>49</v>
      </c>
      <c r="H38" s="1">
        <v>0.8</v>
      </c>
      <c r="I38" s="1" t="s">
        <v>144</v>
      </c>
    </row>
    <row r="39" spans="1:9">
      <c r="A39" s="1" t="s">
        <v>110</v>
      </c>
      <c r="B39" s="4">
        <v>40773</v>
      </c>
      <c r="C39" s="1" t="s">
        <v>140</v>
      </c>
      <c r="D39" s="1" t="s">
        <v>141</v>
      </c>
      <c r="E39" s="1">
        <v>1</v>
      </c>
      <c r="F39" s="1" t="s">
        <v>142</v>
      </c>
      <c r="G39" s="1">
        <v>44</v>
      </c>
      <c r="H39" s="1">
        <v>0.6</v>
      </c>
      <c r="I39" s="1" t="s">
        <v>144</v>
      </c>
    </row>
    <row r="40" spans="1:9">
      <c r="A40" s="1" t="s">
        <v>110</v>
      </c>
      <c r="B40" s="4">
        <v>40773</v>
      </c>
      <c r="C40" s="1" t="s">
        <v>140</v>
      </c>
      <c r="D40" s="1" t="s">
        <v>141</v>
      </c>
      <c r="E40" s="1">
        <v>1</v>
      </c>
      <c r="F40" s="1" t="s">
        <v>142</v>
      </c>
      <c r="G40" s="1">
        <v>46</v>
      </c>
      <c r="H40" s="1">
        <v>0.5</v>
      </c>
      <c r="I40" s="1" t="s">
        <v>144</v>
      </c>
    </row>
    <row r="41" spans="1:9">
      <c r="A41" s="1" t="s">
        <v>110</v>
      </c>
      <c r="B41" s="4">
        <v>40773</v>
      </c>
      <c r="C41" s="1" t="s">
        <v>140</v>
      </c>
      <c r="D41" s="1" t="s">
        <v>141</v>
      </c>
      <c r="E41" s="1">
        <v>1</v>
      </c>
      <c r="F41" s="1" t="s">
        <v>142</v>
      </c>
      <c r="G41" s="1">
        <v>44</v>
      </c>
      <c r="H41" s="1">
        <v>0.7</v>
      </c>
      <c r="I41" s="1" t="s">
        <v>144</v>
      </c>
    </row>
    <row r="42" spans="1:9">
      <c r="A42" s="1" t="s">
        <v>110</v>
      </c>
      <c r="B42" s="4">
        <v>40773</v>
      </c>
      <c r="C42" s="1" t="s">
        <v>140</v>
      </c>
      <c r="D42" s="1" t="s">
        <v>141</v>
      </c>
      <c r="E42" s="1">
        <v>1</v>
      </c>
      <c r="F42" s="1" t="s">
        <v>142</v>
      </c>
      <c r="G42" s="1">
        <v>37</v>
      </c>
      <c r="H42" s="1">
        <v>0.4</v>
      </c>
      <c r="I42" s="1" t="s">
        <v>144</v>
      </c>
    </row>
    <row r="43" spans="1:9">
      <c r="A43" s="1" t="s">
        <v>110</v>
      </c>
      <c r="B43" s="4">
        <v>40773</v>
      </c>
      <c r="C43" s="1" t="s">
        <v>140</v>
      </c>
      <c r="D43" s="1" t="s">
        <v>141</v>
      </c>
      <c r="E43" s="1">
        <v>1</v>
      </c>
      <c r="F43" s="1" t="s">
        <v>142</v>
      </c>
      <c r="G43" s="1">
        <v>40</v>
      </c>
      <c r="H43" s="1">
        <v>0.6</v>
      </c>
      <c r="I43" s="1" t="s">
        <v>144</v>
      </c>
    </row>
    <row r="44" spans="1:9">
      <c r="A44" s="1" t="s">
        <v>110</v>
      </c>
      <c r="B44" s="4">
        <v>40773</v>
      </c>
      <c r="C44" s="1" t="s">
        <v>140</v>
      </c>
      <c r="D44" s="1" t="s">
        <v>141</v>
      </c>
      <c r="E44" s="1">
        <v>1</v>
      </c>
      <c r="F44" s="1" t="s">
        <v>142</v>
      </c>
      <c r="G44" s="1">
        <v>50</v>
      </c>
      <c r="H44" s="1">
        <v>1</v>
      </c>
      <c r="I44" s="1" t="s">
        <v>144</v>
      </c>
    </row>
    <row r="45" spans="1:9">
      <c r="A45" s="1" t="s">
        <v>110</v>
      </c>
      <c r="B45" s="4">
        <v>40773</v>
      </c>
      <c r="C45" s="1" t="s">
        <v>140</v>
      </c>
      <c r="D45" s="1" t="s">
        <v>141</v>
      </c>
      <c r="E45" s="1">
        <v>1</v>
      </c>
      <c r="F45" s="1" t="s">
        <v>142</v>
      </c>
      <c r="G45" s="1">
        <v>39</v>
      </c>
      <c r="H45" s="1">
        <v>0.3</v>
      </c>
      <c r="I45" s="1" t="s">
        <v>144</v>
      </c>
    </row>
    <row r="46" spans="1:9">
      <c r="A46" s="1" t="s">
        <v>110</v>
      </c>
      <c r="B46" s="4">
        <v>40773</v>
      </c>
      <c r="C46" s="1" t="s">
        <v>140</v>
      </c>
      <c r="D46" s="1" t="s">
        <v>141</v>
      </c>
      <c r="E46" s="1">
        <v>1</v>
      </c>
      <c r="F46" s="1" t="s">
        <v>142</v>
      </c>
      <c r="G46" s="1">
        <v>39</v>
      </c>
      <c r="H46" s="1">
        <v>0.4</v>
      </c>
      <c r="I46" s="1" t="s">
        <v>144</v>
      </c>
    </row>
    <row r="47" spans="1:9">
      <c r="A47" s="1" t="s">
        <v>110</v>
      </c>
      <c r="B47" s="4">
        <v>40773</v>
      </c>
      <c r="C47" s="1" t="s">
        <v>140</v>
      </c>
      <c r="D47" s="1" t="s">
        <v>141</v>
      </c>
      <c r="E47" s="1">
        <v>1</v>
      </c>
      <c r="F47" s="1" t="s">
        <v>142</v>
      </c>
      <c r="G47" s="1">
        <v>79</v>
      </c>
      <c r="H47" s="1">
        <v>4.7</v>
      </c>
      <c r="I47" s="1" t="s">
        <v>144</v>
      </c>
    </row>
    <row r="48" spans="1:9">
      <c r="A48" s="1" t="s">
        <v>110</v>
      </c>
      <c r="B48" s="4">
        <v>40773</v>
      </c>
      <c r="C48" s="1" t="s">
        <v>140</v>
      </c>
      <c r="D48" s="1" t="s">
        <v>141</v>
      </c>
      <c r="E48" s="1">
        <v>1</v>
      </c>
      <c r="F48" s="1" t="s">
        <v>142</v>
      </c>
      <c r="G48" s="1">
        <v>56</v>
      </c>
      <c r="H48" s="1">
        <v>1.4</v>
      </c>
      <c r="I48" s="1" t="s">
        <v>144</v>
      </c>
    </row>
    <row r="49" spans="1:9">
      <c r="A49" s="1" t="s">
        <v>110</v>
      </c>
      <c r="B49" s="4">
        <v>40773</v>
      </c>
      <c r="C49" s="1" t="s">
        <v>140</v>
      </c>
      <c r="D49" s="1" t="s">
        <v>141</v>
      </c>
      <c r="E49" s="1">
        <v>1</v>
      </c>
      <c r="F49" s="1" t="s">
        <v>142</v>
      </c>
      <c r="G49" s="1">
        <v>54</v>
      </c>
      <c r="H49" s="1">
        <v>1.4</v>
      </c>
      <c r="I49" s="1" t="s">
        <v>144</v>
      </c>
    </row>
    <row r="50" spans="1:9">
      <c r="A50" s="1" t="s">
        <v>110</v>
      </c>
      <c r="B50" s="4">
        <v>40773</v>
      </c>
      <c r="C50" s="1" t="s">
        <v>140</v>
      </c>
      <c r="D50" s="1" t="s">
        <v>141</v>
      </c>
      <c r="E50" s="1">
        <v>1</v>
      </c>
      <c r="F50" s="1" t="s">
        <v>142</v>
      </c>
      <c r="G50" s="1">
        <v>40</v>
      </c>
      <c r="H50" s="1">
        <v>0.6</v>
      </c>
      <c r="I50" s="1" t="s">
        <v>144</v>
      </c>
    </row>
    <row r="51" spans="1:9">
      <c r="A51" s="1" t="s">
        <v>110</v>
      </c>
      <c r="B51" s="4">
        <v>40773</v>
      </c>
      <c r="C51" s="1" t="s">
        <v>140</v>
      </c>
      <c r="D51" s="1" t="s">
        <v>141</v>
      </c>
      <c r="E51" s="1">
        <v>1</v>
      </c>
      <c r="F51" s="1" t="s">
        <v>142</v>
      </c>
      <c r="G51" s="1">
        <v>52</v>
      </c>
      <c r="H51" s="1">
        <v>1</v>
      </c>
      <c r="I51" s="1" t="s">
        <v>144</v>
      </c>
    </row>
    <row r="52" spans="1:9">
      <c r="A52" s="1" t="s">
        <v>110</v>
      </c>
      <c r="B52" s="4">
        <v>40773</v>
      </c>
      <c r="C52" s="1" t="s">
        <v>140</v>
      </c>
      <c r="D52" s="1" t="s">
        <v>141</v>
      </c>
      <c r="E52" s="1">
        <v>1</v>
      </c>
      <c r="F52" s="1" t="s">
        <v>142</v>
      </c>
      <c r="G52" s="1">
        <v>50</v>
      </c>
      <c r="H52" s="1">
        <v>1.2</v>
      </c>
      <c r="I52" s="1" t="s">
        <v>144</v>
      </c>
    </row>
    <row r="53" spans="1:9">
      <c r="A53" s="1" t="s">
        <v>110</v>
      </c>
      <c r="B53" s="4">
        <v>40773</v>
      </c>
      <c r="C53" s="1" t="s">
        <v>140</v>
      </c>
      <c r="D53" s="1" t="s">
        <v>141</v>
      </c>
      <c r="E53" s="1">
        <v>1</v>
      </c>
      <c r="F53" s="1" t="s">
        <v>142</v>
      </c>
      <c r="G53" s="1">
        <v>48</v>
      </c>
      <c r="H53" s="1">
        <v>1.2</v>
      </c>
      <c r="I53" s="1" t="s">
        <v>144</v>
      </c>
    </row>
    <row r="54" spans="1:9">
      <c r="A54" s="1" t="s">
        <v>110</v>
      </c>
      <c r="B54" s="4">
        <v>40773</v>
      </c>
      <c r="C54" s="1" t="s">
        <v>140</v>
      </c>
      <c r="D54" s="1" t="s">
        <v>141</v>
      </c>
      <c r="E54" s="1">
        <v>1</v>
      </c>
      <c r="F54" s="1" t="s">
        <v>142</v>
      </c>
      <c r="G54" s="1">
        <v>39</v>
      </c>
      <c r="H54" s="1">
        <v>0.3</v>
      </c>
      <c r="I54" s="1" t="s">
        <v>144</v>
      </c>
    </row>
    <row r="55" spans="1:9">
      <c r="A55" s="1" t="s">
        <v>110</v>
      </c>
      <c r="B55" s="4">
        <v>40773</v>
      </c>
      <c r="C55" s="1" t="s">
        <v>140</v>
      </c>
      <c r="D55" s="1" t="s">
        <v>141</v>
      </c>
      <c r="E55" s="1">
        <v>1</v>
      </c>
      <c r="F55" s="1" t="s">
        <v>142</v>
      </c>
      <c r="G55" s="1">
        <v>40</v>
      </c>
      <c r="H55" s="1">
        <v>0.4</v>
      </c>
      <c r="I55" s="1" t="s">
        <v>144</v>
      </c>
    </row>
    <row r="56" spans="1:9">
      <c r="A56" s="1" t="s">
        <v>110</v>
      </c>
      <c r="B56" s="4">
        <v>40773</v>
      </c>
      <c r="C56" s="1" t="s">
        <v>140</v>
      </c>
      <c r="D56" s="1" t="s">
        <v>141</v>
      </c>
      <c r="E56" s="1">
        <v>1</v>
      </c>
      <c r="F56" s="1" t="s">
        <v>142</v>
      </c>
      <c r="G56" s="1">
        <v>103</v>
      </c>
      <c r="H56" s="1">
        <v>12.5</v>
      </c>
      <c r="I56" s="1" t="s">
        <v>144</v>
      </c>
    </row>
    <row r="57" spans="1:9">
      <c r="A57" s="1" t="s">
        <v>110</v>
      </c>
      <c r="B57" s="4">
        <v>40773</v>
      </c>
      <c r="C57" s="1" t="s">
        <v>140</v>
      </c>
      <c r="D57" s="1" t="s">
        <v>141</v>
      </c>
      <c r="E57" s="1">
        <v>1</v>
      </c>
      <c r="F57" s="1" t="s">
        <v>142</v>
      </c>
      <c r="G57" s="1">
        <v>38</v>
      </c>
      <c r="H57" s="1">
        <v>0.4</v>
      </c>
      <c r="I57" s="1" t="s">
        <v>144</v>
      </c>
    </row>
    <row r="58" spans="1:9">
      <c r="A58" s="1" t="s">
        <v>110</v>
      </c>
      <c r="B58" s="4">
        <v>40773</v>
      </c>
      <c r="C58" s="1" t="s">
        <v>140</v>
      </c>
      <c r="D58" s="1" t="s">
        <v>141</v>
      </c>
      <c r="E58" s="1">
        <v>1</v>
      </c>
      <c r="F58" s="1" t="s">
        <v>142</v>
      </c>
      <c r="G58" s="1">
        <v>48</v>
      </c>
      <c r="H58" s="1">
        <v>0.7</v>
      </c>
      <c r="I58" s="1" t="s">
        <v>144</v>
      </c>
    </row>
    <row r="59" spans="1:9">
      <c r="A59" s="1" t="s">
        <v>110</v>
      </c>
      <c r="B59" s="4">
        <v>40773</v>
      </c>
      <c r="C59" s="1" t="s">
        <v>140</v>
      </c>
      <c r="D59" s="1" t="s">
        <v>141</v>
      </c>
      <c r="E59" s="1">
        <v>1</v>
      </c>
      <c r="F59" s="1" t="s">
        <v>142</v>
      </c>
      <c r="G59" s="1">
        <v>51</v>
      </c>
      <c r="H59" s="1">
        <v>1.2</v>
      </c>
      <c r="I59" s="1" t="s">
        <v>144</v>
      </c>
    </row>
    <row r="60" spans="1:9">
      <c r="A60" s="1" t="s">
        <v>110</v>
      </c>
      <c r="B60" s="4">
        <v>40773</v>
      </c>
      <c r="C60" s="1" t="s">
        <v>140</v>
      </c>
      <c r="D60" s="1" t="s">
        <v>141</v>
      </c>
      <c r="E60" s="1">
        <v>1</v>
      </c>
      <c r="F60" s="1" t="s">
        <v>142</v>
      </c>
      <c r="G60" s="1">
        <v>51</v>
      </c>
      <c r="H60" s="1">
        <v>1</v>
      </c>
      <c r="I60" s="1" t="s">
        <v>144</v>
      </c>
    </row>
    <row r="61" spans="1:9">
      <c r="A61" s="1" t="s">
        <v>110</v>
      </c>
      <c r="B61" s="4">
        <v>40773</v>
      </c>
      <c r="C61" s="1" t="s">
        <v>140</v>
      </c>
      <c r="D61" s="1" t="s">
        <v>141</v>
      </c>
      <c r="E61" s="1">
        <v>1</v>
      </c>
      <c r="F61" s="1" t="s">
        <v>142</v>
      </c>
      <c r="G61" s="1">
        <v>42</v>
      </c>
      <c r="H61" s="1">
        <v>0.4</v>
      </c>
      <c r="I61" s="1" t="s">
        <v>144</v>
      </c>
    </row>
    <row r="62" spans="1:9">
      <c r="A62" s="1" t="s">
        <v>110</v>
      </c>
      <c r="B62" s="4">
        <v>40773</v>
      </c>
      <c r="C62" s="1" t="s">
        <v>140</v>
      </c>
      <c r="D62" s="1" t="s">
        <v>141</v>
      </c>
      <c r="E62" s="1">
        <v>1</v>
      </c>
      <c r="F62" s="1" t="s">
        <v>145</v>
      </c>
      <c r="G62" s="1">
        <v>138</v>
      </c>
      <c r="H62" s="1">
        <v>24</v>
      </c>
      <c r="I62" s="1" t="s">
        <v>144</v>
      </c>
    </row>
    <row r="63" spans="1:9">
      <c r="A63" s="1" t="s">
        <v>110</v>
      </c>
      <c r="B63" s="4">
        <v>40773</v>
      </c>
      <c r="C63" s="1" t="s">
        <v>140</v>
      </c>
      <c r="D63" s="1" t="s">
        <v>141</v>
      </c>
      <c r="E63" s="1">
        <v>1</v>
      </c>
      <c r="F63" s="1" t="s">
        <v>146</v>
      </c>
      <c r="G63" s="1">
        <v>47</v>
      </c>
      <c r="H63" s="1">
        <v>1.2</v>
      </c>
      <c r="I63" s="1" t="s">
        <v>144</v>
      </c>
    </row>
    <row r="64" spans="1:9">
      <c r="A64" s="1" t="s">
        <v>110</v>
      </c>
      <c r="B64" s="4">
        <v>40773</v>
      </c>
      <c r="C64" s="1" t="s">
        <v>140</v>
      </c>
      <c r="D64" s="1" t="s">
        <v>141</v>
      </c>
      <c r="E64" s="1">
        <v>1</v>
      </c>
      <c r="F64" s="1" t="s">
        <v>146</v>
      </c>
      <c r="G64" s="1">
        <v>58</v>
      </c>
      <c r="H64" s="1">
        <v>1.4</v>
      </c>
      <c r="I64" s="1" t="s">
        <v>144</v>
      </c>
    </row>
    <row r="65" spans="1:9">
      <c r="A65" s="1" t="s">
        <v>110</v>
      </c>
      <c r="B65" s="4">
        <v>40773</v>
      </c>
      <c r="C65" s="1" t="s">
        <v>140</v>
      </c>
      <c r="D65" s="1" t="s">
        <v>141</v>
      </c>
      <c r="E65" s="1">
        <v>1</v>
      </c>
      <c r="F65" s="1" t="s">
        <v>146</v>
      </c>
      <c r="G65" s="1">
        <v>37</v>
      </c>
      <c r="H65" s="1">
        <v>0.2</v>
      </c>
      <c r="I65" s="1" t="s">
        <v>144</v>
      </c>
    </row>
    <row r="66" spans="1:9">
      <c r="A66" s="1" t="s">
        <v>110</v>
      </c>
      <c r="B66" s="4">
        <v>40773</v>
      </c>
      <c r="C66" s="1" t="s">
        <v>140</v>
      </c>
      <c r="D66" s="1" t="s">
        <v>141</v>
      </c>
      <c r="E66" s="1">
        <v>1</v>
      </c>
      <c r="F66" s="1" t="s">
        <v>146</v>
      </c>
      <c r="G66" s="1">
        <v>46</v>
      </c>
      <c r="H66" s="1">
        <v>0.6</v>
      </c>
      <c r="I66" s="1" t="s">
        <v>144</v>
      </c>
    </row>
    <row r="67" spans="1:9">
      <c r="A67" s="1" t="s">
        <v>110</v>
      </c>
      <c r="B67" s="4">
        <v>40773</v>
      </c>
      <c r="C67" s="1" t="s">
        <v>140</v>
      </c>
      <c r="D67" s="1" t="s">
        <v>141</v>
      </c>
      <c r="E67" s="1">
        <v>1</v>
      </c>
      <c r="F67" s="1" t="s">
        <v>146</v>
      </c>
      <c r="G67" s="1">
        <v>51</v>
      </c>
      <c r="H67" s="1">
        <v>0.7</v>
      </c>
      <c r="I67" s="1" t="s">
        <v>144</v>
      </c>
    </row>
    <row r="68" spans="1:9">
      <c r="A68" s="1" t="s">
        <v>110</v>
      </c>
      <c r="B68" s="4">
        <v>40773</v>
      </c>
      <c r="C68" s="1" t="s">
        <v>140</v>
      </c>
      <c r="D68" s="1" t="s">
        <v>141</v>
      </c>
      <c r="E68" s="1">
        <v>1</v>
      </c>
      <c r="F68" s="1" t="s">
        <v>146</v>
      </c>
      <c r="G68" s="1">
        <v>58</v>
      </c>
      <c r="H68" s="1">
        <v>1.6</v>
      </c>
      <c r="I68" s="1" t="s">
        <v>144</v>
      </c>
    </row>
    <row r="69" spans="1:9">
      <c r="A69" s="1" t="s">
        <v>110</v>
      </c>
      <c r="B69" s="4">
        <v>40773</v>
      </c>
      <c r="C69" s="1" t="s">
        <v>140</v>
      </c>
      <c r="D69" s="1" t="s">
        <v>141</v>
      </c>
      <c r="E69" s="1">
        <v>1</v>
      </c>
      <c r="F69" s="1" t="s">
        <v>146</v>
      </c>
      <c r="G69" s="1">
        <v>44</v>
      </c>
      <c r="H69" s="1">
        <v>0.7</v>
      </c>
      <c r="I69" s="1" t="s">
        <v>144</v>
      </c>
    </row>
    <row r="70" spans="1:9">
      <c r="A70" s="1" t="s">
        <v>110</v>
      </c>
      <c r="B70" s="4">
        <v>40773</v>
      </c>
      <c r="C70" s="1" t="s">
        <v>140</v>
      </c>
      <c r="D70" s="1" t="s">
        <v>141</v>
      </c>
      <c r="E70" s="1">
        <v>1</v>
      </c>
      <c r="F70" s="1" t="s">
        <v>146</v>
      </c>
      <c r="G70" s="1">
        <v>50</v>
      </c>
      <c r="H70" s="1">
        <v>0.9</v>
      </c>
      <c r="I70" s="1" t="s">
        <v>144</v>
      </c>
    </row>
    <row r="71" spans="1:9">
      <c r="A71" s="1" t="s">
        <v>110</v>
      </c>
      <c r="B71" s="4">
        <v>40773</v>
      </c>
      <c r="C71" s="1" t="s">
        <v>140</v>
      </c>
      <c r="D71" s="1" t="s">
        <v>141</v>
      </c>
      <c r="E71" s="1">
        <v>2</v>
      </c>
      <c r="F71" s="1" t="s">
        <v>148</v>
      </c>
      <c r="G71" s="1">
        <v>70</v>
      </c>
      <c r="H71" s="1">
        <v>3</v>
      </c>
      <c r="I71" s="1" t="s">
        <v>144</v>
      </c>
    </row>
    <row r="72" spans="1:9">
      <c r="A72" s="1" t="s">
        <v>110</v>
      </c>
      <c r="B72" s="4">
        <v>40773</v>
      </c>
      <c r="C72" s="1" t="s">
        <v>140</v>
      </c>
      <c r="D72" s="1" t="s">
        <v>141</v>
      </c>
      <c r="E72" s="1">
        <v>2</v>
      </c>
      <c r="F72" s="1" t="s">
        <v>142</v>
      </c>
      <c r="G72" s="1">
        <v>46</v>
      </c>
      <c r="H72" s="1">
        <v>0.8</v>
      </c>
      <c r="I72" s="1" t="s">
        <v>144</v>
      </c>
    </row>
    <row r="73" spans="1:9">
      <c r="A73" s="1" t="s">
        <v>110</v>
      </c>
      <c r="B73" s="4">
        <v>40773</v>
      </c>
      <c r="C73" s="1" t="s">
        <v>140</v>
      </c>
      <c r="D73" s="1" t="s">
        <v>141</v>
      </c>
      <c r="E73" s="1">
        <v>2</v>
      </c>
      <c r="F73" s="1" t="s">
        <v>142</v>
      </c>
      <c r="G73" s="1">
        <v>51</v>
      </c>
      <c r="H73" s="1">
        <v>1.3</v>
      </c>
      <c r="I73" s="1" t="s">
        <v>144</v>
      </c>
    </row>
    <row r="74" spans="1:9">
      <c r="A74" s="1" t="s">
        <v>110</v>
      </c>
      <c r="B74" s="4">
        <v>40773</v>
      </c>
      <c r="C74" s="1" t="s">
        <v>140</v>
      </c>
      <c r="D74" s="1" t="s">
        <v>141</v>
      </c>
      <c r="E74" s="1">
        <v>2</v>
      </c>
      <c r="F74" s="1" t="s">
        <v>142</v>
      </c>
      <c r="G74" s="1">
        <v>44</v>
      </c>
      <c r="H74" s="1">
        <v>0.8</v>
      </c>
      <c r="I74" s="1" t="s">
        <v>144</v>
      </c>
    </row>
    <row r="75" spans="1:9">
      <c r="A75" s="1" t="s">
        <v>110</v>
      </c>
      <c r="B75" s="4">
        <v>40773</v>
      </c>
      <c r="C75" s="1" t="s">
        <v>140</v>
      </c>
      <c r="D75" s="1" t="s">
        <v>141</v>
      </c>
      <c r="E75" s="1">
        <v>2</v>
      </c>
      <c r="F75" s="1" t="s">
        <v>142</v>
      </c>
      <c r="G75" s="1">
        <v>41</v>
      </c>
      <c r="H75" s="1">
        <v>0.4</v>
      </c>
      <c r="I75" s="1" t="s">
        <v>144</v>
      </c>
    </row>
    <row r="76" spans="1:9">
      <c r="A76" s="1" t="s">
        <v>110</v>
      </c>
      <c r="B76" s="4">
        <v>40773</v>
      </c>
      <c r="C76" s="1" t="s">
        <v>140</v>
      </c>
      <c r="D76" s="1" t="s">
        <v>141</v>
      </c>
      <c r="E76" s="1">
        <v>2</v>
      </c>
      <c r="F76" s="1" t="s">
        <v>142</v>
      </c>
      <c r="G76" s="1">
        <v>50</v>
      </c>
      <c r="H76" s="1">
        <v>1.2</v>
      </c>
      <c r="I76" s="1" t="s">
        <v>144</v>
      </c>
    </row>
    <row r="77" spans="1:9">
      <c r="A77" s="1" t="s">
        <v>110</v>
      </c>
      <c r="B77" s="4">
        <v>40773</v>
      </c>
      <c r="C77" s="1" t="s">
        <v>140</v>
      </c>
      <c r="D77" s="1" t="s">
        <v>141</v>
      </c>
      <c r="E77" s="1">
        <v>2</v>
      </c>
      <c r="F77" s="1" t="s">
        <v>142</v>
      </c>
      <c r="G77" s="1">
        <v>38</v>
      </c>
      <c r="H77" s="1">
        <v>0.4</v>
      </c>
      <c r="I77" s="1" t="s">
        <v>144</v>
      </c>
    </row>
    <row r="78" spans="1:9">
      <c r="A78" s="1" t="s">
        <v>110</v>
      </c>
      <c r="B78" s="4">
        <v>40773</v>
      </c>
      <c r="C78" s="1" t="s">
        <v>140</v>
      </c>
      <c r="D78" s="1" t="s">
        <v>141</v>
      </c>
      <c r="E78" s="1">
        <v>2</v>
      </c>
      <c r="F78" s="1" t="s">
        <v>142</v>
      </c>
      <c r="G78" s="1">
        <v>47</v>
      </c>
      <c r="H78" s="1">
        <v>1</v>
      </c>
      <c r="I78" s="1" t="s">
        <v>144</v>
      </c>
    </row>
    <row r="79" spans="1:9">
      <c r="A79" s="1" t="s">
        <v>110</v>
      </c>
      <c r="B79" s="4">
        <v>40773</v>
      </c>
      <c r="C79" s="1" t="s">
        <v>140</v>
      </c>
      <c r="D79" s="1" t="s">
        <v>141</v>
      </c>
      <c r="E79" s="1">
        <v>2</v>
      </c>
      <c r="F79" s="1" t="s">
        <v>142</v>
      </c>
      <c r="G79" s="1">
        <v>50</v>
      </c>
      <c r="H79" s="1">
        <v>0.8</v>
      </c>
      <c r="I79" s="1" t="s">
        <v>144</v>
      </c>
    </row>
    <row r="80" spans="1:9">
      <c r="A80" s="1" t="s">
        <v>110</v>
      </c>
      <c r="B80" s="4">
        <v>40773</v>
      </c>
      <c r="C80" s="1" t="s">
        <v>140</v>
      </c>
      <c r="D80" s="1" t="s">
        <v>141</v>
      </c>
      <c r="E80" s="1">
        <v>2</v>
      </c>
      <c r="F80" s="1" t="s">
        <v>142</v>
      </c>
      <c r="G80" s="1">
        <v>46</v>
      </c>
      <c r="H80" s="1">
        <v>17</v>
      </c>
      <c r="I80" s="1" t="s">
        <v>144</v>
      </c>
    </row>
    <row r="81" spans="1:9">
      <c r="A81" s="1" t="s">
        <v>110</v>
      </c>
      <c r="B81" s="4">
        <v>40773</v>
      </c>
      <c r="C81" s="1" t="s">
        <v>140</v>
      </c>
      <c r="D81" s="1" t="s">
        <v>141</v>
      </c>
      <c r="E81" s="1">
        <v>2</v>
      </c>
      <c r="F81" s="1" t="s">
        <v>142</v>
      </c>
      <c r="G81" s="1">
        <v>45</v>
      </c>
      <c r="H81" s="1">
        <v>0.6</v>
      </c>
      <c r="I81" s="1" t="s">
        <v>144</v>
      </c>
    </row>
    <row r="82" spans="1:9">
      <c r="A82" s="1" t="s">
        <v>110</v>
      </c>
      <c r="B82" s="4">
        <v>40773</v>
      </c>
      <c r="C82" s="1" t="s">
        <v>140</v>
      </c>
      <c r="D82" s="1" t="s">
        <v>141</v>
      </c>
      <c r="E82" s="1">
        <v>2</v>
      </c>
      <c r="F82" s="1" t="s">
        <v>142</v>
      </c>
      <c r="G82" s="1">
        <v>52</v>
      </c>
      <c r="H82" s="1">
        <v>0.8</v>
      </c>
      <c r="I82" s="1" t="s">
        <v>144</v>
      </c>
    </row>
    <row r="83" spans="1:9">
      <c r="A83" s="1" t="s">
        <v>110</v>
      </c>
      <c r="B83" s="4">
        <v>40773</v>
      </c>
      <c r="C83" s="1" t="s">
        <v>140</v>
      </c>
      <c r="D83" s="1" t="s">
        <v>141</v>
      </c>
      <c r="E83" s="1">
        <v>2</v>
      </c>
      <c r="F83" s="1" t="s">
        <v>142</v>
      </c>
      <c r="G83" s="1">
        <v>48</v>
      </c>
      <c r="H83" s="1">
        <v>0.7</v>
      </c>
      <c r="I83" s="1" t="s">
        <v>144</v>
      </c>
    </row>
    <row r="84" spans="1:9">
      <c r="A84" s="1" t="s">
        <v>110</v>
      </c>
      <c r="B84" s="4">
        <v>40773</v>
      </c>
      <c r="C84" s="1" t="s">
        <v>140</v>
      </c>
      <c r="D84" s="1" t="s">
        <v>141</v>
      </c>
      <c r="E84" s="1">
        <v>1</v>
      </c>
      <c r="F84" s="1" t="s">
        <v>142</v>
      </c>
      <c r="G84" s="1">
        <v>44</v>
      </c>
      <c r="H84" s="1">
        <v>0.6</v>
      </c>
      <c r="I84" s="1" t="s">
        <v>144</v>
      </c>
    </row>
    <row r="85" spans="1:9">
      <c r="A85" s="1" t="s">
        <v>110</v>
      </c>
      <c r="B85" s="4">
        <v>40773</v>
      </c>
      <c r="C85" s="1" t="s">
        <v>140</v>
      </c>
      <c r="D85" s="1" t="s">
        <v>141</v>
      </c>
      <c r="E85" s="1">
        <v>1</v>
      </c>
      <c r="F85" s="1" t="s">
        <v>142</v>
      </c>
      <c r="G85" s="1">
        <v>44</v>
      </c>
      <c r="H85" s="1">
        <v>0.8</v>
      </c>
      <c r="I85" s="1" t="s">
        <v>144</v>
      </c>
    </row>
    <row r="86" spans="1:9">
      <c r="A86" s="1" t="s">
        <v>110</v>
      </c>
      <c r="B86" s="4">
        <v>40773</v>
      </c>
      <c r="C86" s="1" t="s">
        <v>140</v>
      </c>
      <c r="D86" s="1" t="s">
        <v>141</v>
      </c>
      <c r="E86" s="1">
        <v>2</v>
      </c>
      <c r="F86" s="1" t="s">
        <v>142</v>
      </c>
      <c r="G86" s="1">
        <v>42</v>
      </c>
      <c r="H86" s="1">
        <v>0.3</v>
      </c>
      <c r="I86" s="1" t="s">
        <v>144</v>
      </c>
    </row>
    <row r="87" spans="1:9">
      <c r="A87" s="1" t="s">
        <v>110</v>
      </c>
      <c r="B87" s="4">
        <v>40773</v>
      </c>
      <c r="C87" s="1" t="s">
        <v>140</v>
      </c>
      <c r="D87" s="1" t="s">
        <v>141</v>
      </c>
      <c r="E87" s="1">
        <v>2</v>
      </c>
      <c r="F87" s="1" t="s">
        <v>142</v>
      </c>
      <c r="G87" s="1">
        <v>40</v>
      </c>
      <c r="H87" s="1">
        <v>0.4</v>
      </c>
      <c r="I87" s="1" t="s">
        <v>144</v>
      </c>
    </row>
    <row r="88" spans="1:9">
      <c r="A88" s="1" t="s">
        <v>110</v>
      </c>
      <c r="B88" s="4">
        <v>40773</v>
      </c>
      <c r="C88" s="1" t="s">
        <v>140</v>
      </c>
      <c r="D88" s="1" t="s">
        <v>141</v>
      </c>
      <c r="E88" s="1">
        <v>2</v>
      </c>
      <c r="F88" s="1" t="s">
        <v>142</v>
      </c>
      <c r="G88" s="1">
        <v>39</v>
      </c>
      <c r="H88" s="1">
        <v>0.3</v>
      </c>
      <c r="I88" s="1" t="s">
        <v>144</v>
      </c>
    </row>
    <row r="89" spans="1:9">
      <c r="A89" s="1" t="s">
        <v>110</v>
      </c>
      <c r="B89" s="4">
        <v>40773</v>
      </c>
      <c r="C89" s="1" t="s">
        <v>140</v>
      </c>
      <c r="D89" s="1" t="s">
        <v>141</v>
      </c>
      <c r="E89" s="1">
        <v>2</v>
      </c>
      <c r="F89" s="1" t="s">
        <v>142</v>
      </c>
      <c r="G89" s="1">
        <v>44</v>
      </c>
      <c r="H89" s="1">
        <v>0.4</v>
      </c>
      <c r="I89" s="1" t="s">
        <v>144</v>
      </c>
    </row>
    <row r="90" spans="1:9">
      <c r="A90" s="1" t="s">
        <v>110</v>
      </c>
      <c r="B90" s="4">
        <v>40773</v>
      </c>
      <c r="C90" s="1" t="s">
        <v>140</v>
      </c>
      <c r="D90" s="1" t="s">
        <v>141</v>
      </c>
      <c r="E90" s="1">
        <v>2</v>
      </c>
      <c r="F90" s="1" t="s">
        <v>142</v>
      </c>
      <c r="G90" s="1">
        <v>47</v>
      </c>
      <c r="H90" s="1">
        <v>1.2</v>
      </c>
      <c r="I90" s="1" t="s">
        <v>144</v>
      </c>
    </row>
    <row r="91" spans="1:9">
      <c r="A91" s="1" t="s">
        <v>110</v>
      </c>
      <c r="B91" s="4">
        <v>40773</v>
      </c>
      <c r="C91" s="1" t="s">
        <v>140</v>
      </c>
      <c r="D91" s="1" t="s">
        <v>141</v>
      </c>
      <c r="E91" s="1">
        <v>2</v>
      </c>
      <c r="F91" s="1" t="s">
        <v>142</v>
      </c>
      <c r="G91" s="1">
        <v>50</v>
      </c>
      <c r="H91" s="1">
        <v>0.8</v>
      </c>
      <c r="I91" s="1" t="s">
        <v>144</v>
      </c>
    </row>
    <row r="92" spans="1:9">
      <c r="A92" s="1" t="s">
        <v>110</v>
      </c>
      <c r="B92" s="4">
        <v>40773</v>
      </c>
      <c r="C92" s="1" t="s">
        <v>140</v>
      </c>
      <c r="D92" s="1" t="s">
        <v>141</v>
      </c>
      <c r="E92" s="1">
        <v>2</v>
      </c>
      <c r="F92" s="1" t="s">
        <v>142</v>
      </c>
      <c r="G92" s="1">
        <v>38</v>
      </c>
      <c r="H92" s="1">
        <v>0.4</v>
      </c>
      <c r="I92" s="1" t="s">
        <v>144</v>
      </c>
    </row>
    <row r="93" spans="1:9">
      <c r="A93" s="1" t="s">
        <v>110</v>
      </c>
      <c r="B93" s="4">
        <v>40773</v>
      </c>
      <c r="C93" s="1" t="s">
        <v>140</v>
      </c>
      <c r="D93" s="1" t="s">
        <v>141</v>
      </c>
      <c r="E93" s="1">
        <v>2</v>
      </c>
      <c r="F93" s="1" t="s">
        <v>142</v>
      </c>
      <c r="G93" s="1">
        <v>46</v>
      </c>
      <c r="H93" s="1">
        <v>1</v>
      </c>
      <c r="I93" s="1" t="s">
        <v>144</v>
      </c>
    </row>
    <row r="94" spans="1:9">
      <c r="A94" s="1" t="s">
        <v>110</v>
      </c>
      <c r="B94" s="4">
        <v>40773</v>
      </c>
      <c r="C94" s="1" t="s">
        <v>140</v>
      </c>
      <c r="D94" s="1" t="s">
        <v>141</v>
      </c>
      <c r="E94" s="1">
        <v>2</v>
      </c>
      <c r="F94" s="1" t="s">
        <v>142</v>
      </c>
      <c r="G94" s="1">
        <v>46</v>
      </c>
      <c r="H94" s="1">
        <v>0.7</v>
      </c>
      <c r="I94" s="1" t="s">
        <v>144</v>
      </c>
    </row>
    <row r="95" spans="1:9">
      <c r="A95" s="1" t="s">
        <v>110</v>
      </c>
      <c r="B95" s="4">
        <v>40773</v>
      </c>
      <c r="C95" s="1" t="s">
        <v>140</v>
      </c>
      <c r="D95" s="1" t="s">
        <v>141</v>
      </c>
      <c r="E95" s="1">
        <v>2</v>
      </c>
      <c r="F95" s="1" t="s">
        <v>142</v>
      </c>
      <c r="G95" s="1">
        <v>42</v>
      </c>
      <c r="H95" s="1">
        <v>0.4</v>
      </c>
      <c r="I95" s="1" t="s">
        <v>144</v>
      </c>
    </row>
    <row r="96" spans="1:9">
      <c r="A96" s="1" t="s">
        <v>110</v>
      </c>
      <c r="B96" s="4">
        <v>40773</v>
      </c>
      <c r="C96" s="1" t="s">
        <v>140</v>
      </c>
      <c r="D96" s="1" t="s">
        <v>141</v>
      </c>
      <c r="E96" s="1">
        <v>2</v>
      </c>
      <c r="F96" s="1" t="s">
        <v>142</v>
      </c>
      <c r="G96" s="1">
        <v>45</v>
      </c>
      <c r="H96" s="1">
        <v>0.5</v>
      </c>
      <c r="I96" s="1" t="s">
        <v>144</v>
      </c>
    </row>
    <row r="97" spans="1:9">
      <c r="A97" s="1" t="s">
        <v>110</v>
      </c>
      <c r="B97" s="4">
        <v>40773</v>
      </c>
      <c r="C97" s="1" t="s">
        <v>140</v>
      </c>
      <c r="D97" s="1" t="s">
        <v>141</v>
      </c>
      <c r="E97" s="1">
        <v>2</v>
      </c>
      <c r="F97" s="1" t="s">
        <v>142</v>
      </c>
      <c r="G97" s="1">
        <v>55</v>
      </c>
      <c r="H97" s="1">
        <v>1</v>
      </c>
      <c r="I97" s="1" t="s">
        <v>144</v>
      </c>
    </row>
    <row r="98" spans="1:9">
      <c r="A98" s="1" t="s">
        <v>110</v>
      </c>
      <c r="B98" s="4">
        <v>40773</v>
      </c>
      <c r="C98" s="1" t="s">
        <v>140</v>
      </c>
      <c r="D98" s="1" t="s">
        <v>141</v>
      </c>
      <c r="E98" s="1">
        <v>2</v>
      </c>
      <c r="F98" s="1" t="s">
        <v>142</v>
      </c>
      <c r="G98" s="1">
        <v>51</v>
      </c>
      <c r="H98" s="1">
        <v>1</v>
      </c>
      <c r="I98" s="1" t="s">
        <v>144</v>
      </c>
    </row>
    <row r="99" spans="1:9">
      <c r="A99" s="1" t="s">
        <v>110</v>
      </c>
      <c r="B99" s="4">
        <v>40773</v>
      </c>
      <c r="C99" s="1" t="s">
        <v>140</v>
      </c>
      <c r="D99" s="1" t="s">
        <v>141</v>
      </c>
      <c r="E99" s="1">
        <v>2</v>
      </c>
      <c r="F99" s="1" t="s">
        <v>142</v>
      </c>
      <c r="G99" s="1">
        <v>54</v>
      </c>
      <c r="H99" s="1">
        <v>1.2</v>
      </c>
      <c r="I99" s="1" t="s">
        <v>144</v>
      </c>
    </row>
    <row r="100" spans="1:9">
      <c r="A100" s="1" t="s">
        <v>110</v>
      </c>
      <c r="B100" s="4">
        <v>40773</v>
      </c>
      <c r="C100" s="1" t="s">
        <v>140</v>
      </c>
      <c r="D100" s="1" t="s">
        <v>141</v>
      </c>
      <c r="E100" s="1">
        <v>2</v>
      </c>
      <c r="F100" s="1" t="s">
        <v>142</v>
      </c>
      <c r="G100" s="1">
        <v>55</v>
      </c>
      <c r="H100" s="1">
        <v>1</v>
      </c>
      <c r="I100" s="1" t="s">
        <v>144</v>
      </c>
    </row>
    <row r="101" spans="1:9">
      <c r="A101" s="1" t="s">
        <v>110</v>
      </c>
      <c r="B101" s="4">
        <v>40773</v>
      </c>
      <c r="C101" s="1" t="s">
        <v>140</v>
      </c>
      <c r="D101" s="1" t="s">
        <v>141</v>
      </c>
      <c r="E101" s="1">
        <v>2</v>
      </c>
      <c r="F101" s="1" t="s">
        <v>142</v>
      </c>
      <c r="G101" s="1">
        <v>51</v>
      </c>
      <c r="H101" s="1">
        <v>0.9</v>
      </c>
      <c r="I101" s="1" t="s">
        <v>144</v>
      </c>
    </row>
    <row r="102" spans="1:9">
      <c r="A102" s="1" t="s">
        <v>110</v>
      </c>
      <c r="B102" s="4">
        <v>40773</v>
      </c>
      <c r="C102" s="1" t="s">
        <v>140</v>
      </c>
      <c r="D102" s="1" t="s">
        <v>141</v>
      </c>
      <c r="E102" s="1">
        <v>2</v>
      </c>
      <c r="F102" s="1" t="s">
        <v>142</v>
      </c>
      <c r="G102" s="1">
        <v>44</v>
      </c>
      <c r="H102" s="1">
        <v>0.3</v>
      </c>
      <c r="I102" s="1" t="s">
        <v>144</v>
      </c>
    </row>
    <row r="103" spans="1:9">
      <c r="A103" s="1" t="s">
        <v>110</v>
      </c>
      <c r="B103" s="4">
        <v>40773</v>
      </c>
      <c r="C103" s="1" t="s">
        <v>140</v>
      </c>
      <c r="D103" s="1" t="s">
        <v>141</v>
      </c>
      <c r="E103" s="1">
        <v>2</v>
      </c>
      <c r="F103" s="1" t="s">
        <v>142</v>
      </c>
      <c r="G103" s="1">
        <v>41</v>
      </c>
      <c r="H103" s="1">
        <v>0.4</v>
      </c>
      <c r="I103" s="1" t="s">
        <v>144</v>
      </c>
    </row>
    <row r="104" spans="1:9">
      <c r="A104" s="1" t="s">
        <v>110</v>
      </c>
      <c r="B104" s="4">
        <v>40773</v>
      </c>
      <c r="C104" s="1" t="s">
        <v>140</v>
      </c>
      <c r="D104" s="1" t="s">
        <v>141</v>
      </c>
      <c r="E104" s="1">
        <v>2</v>
      </c>
      <c r="F104" s="1" t="s">
        <v>142</v>
      </c>
      <c r="G104" s="1">
        <v>45</v>
      </c>
      <c r="H104" s="1">
        <v>0.6</v>
      </c>
      <c r="I104" s="1" t="s">
        <v>144</v>
      </c>
    </row>
    <row r="105" spans="1:9">
      <c r="A105" s="1" t="s">
        <v>110</v>
      </c>
      <c r="B105" s="4">
        <v>40773</v>
      </c>
      <c r="C105" s="1" t="s">
        <v>140</v>
      </c>
      <c r="D105" s="1" t="s">
        <v>141</v>
      </c>
      <c r="E105" s="1">
        <v>2</v>
      </c>
      <c r="F105" s="1" t="s">
        <v>142</v>
      </c>
      <c r="G105" s="1">
        <v>41</v>
      </c>
      <c r="H105" s="1">
        <v>0.5</v>
      </c>
      <c r="I105" s="1" t="s">
        <v>144</v>
      </c>
    </row>
    <row r="106" spans="1:9">
      <c r="A106" s="1" t="s">
        <v>110</v>
      </c>
      <c r="B106" s="4">
        <v>40773</v>
      </c>
      <c r="C106" s="1" t="s">
        <v>140</v>
      </c>
      <c r="D106" s="1" t="s">
        <v>141</v>
      </c>
      <c r="E106" s="1">
        <v>2</v>
      </c>
      <c r="F106" s="1" t="s">
        <v>142</v>
      </c>
      <c r="G106" s="1">
        <v>52</v>
      </c>
      <c r="H106" s="1">
        <v>0.7</v>
      </c>
      <c r="I106" s="1" t="s">
        <v>144</v>
      </c>
    </row>
    <row r="107" spans="1:9">
      <c r="A107" s="1" t="s">
        <v>110</v>
      </c>
      <c r="B107" s="4">
        <v>40773</v>
      </c>
      <c r="C107" s="1" t="s">
        <v>140</v>
      </c>
      <c r="D107" s="1" t="s">
        <v>141</v>
      </c>
      <c r="E107" s="1">
        <v>2</v>
      </c>
      <c r="F107" s="1" t="s">
        <v>142</v>
      </c>
      <c r="G107" s="1">
        <v>44</v>
      </c>
      <c r="H107" s="1">
        <v>0.6</v>
      </c>
      <c r="I107" s="1" t="s">
        <v>144</v>
      </c>
    </row>
    <row r="108" spans="1:9">
      <c r="A108" s="1" t="s">
        <v>110</v>
      </c>
      <c r="B108" s="4">
        <v>40773</v>
      </c>
      <c r="C108" s="1" t="s">
        <v>140</v>
      </c>
      <c r="D108" s="1" t="s">
        <v>141</v>
      </c>
      <c r="E108" s="1">
        <v>2</v>
      </c>
      <c r="F108" s="1" t="s">
        <v>142</v>
      </c>
      <c r="G108" s="1">
        <v>37</v>
      </c>
      <c r="H108" s="1">
        <v>0.2</v>
      </c>
      <c r="I108" s="1" t="s">
        <v>144</v>
      </c>
    </row>
    <row r="109" spans="1:9">
      <c r="A109" s="1" t="s">
        <v>110</v>
      </c>
      <c r="B109" s="4">
        <v>40773</v>
      </c>
      <c r="C109" s="1" t="s">
        <v>140</v>
      </c>
      <c r="D109" s="1" t="s">
        <v>141</v>
      </c>
      <c r="E109" s="1">
        <v>2</v>
      </c>
      <c r="F109" s="1" t="s">
        <v>142</v>
      </c>
      <c r="G109" s="1">
        <v>41</v>
      </c>
      <c r="H109" s="1">
        <v>0.3</v>
      </c>
      <c r="I109" s="1" t="s">
        <v>144</v>
      </c>
    </row>
    <row r="110" spans="1:9">
      <c r="A110" s="1" t="s">
        <v>110</v>
      </c>
      <c r="B110" s="4">
        <v>40773</v>
      </c>
      <c r="C110" s="1" t="s">
        <v>140</v>
      </c>
      <c r="D110" s="1" t="s">
        <v>141</v>
      </c>
      <c r="E110" s="1">
        <v>2</v>
      </c>
      <c r="F110" s="1" t="s">
        <v>142</v>
      </c>
      <c r="G110" s="1">
        <v>51</v>
      </c>
      <c r="H110" s="1">
        <v>0.7</v>
      </c>
      <c r="I110" s="1" t="s">
        <v>144</v>
      </c>
    </row>
    <row r="111" spans="1:9">
      <c r="A111" s="1" t="s">
        <v>110</v>
      </c>
      <c r="B111" s="4">
        <v>40773</v>
      </c>
      <c r="C111" s="1" t="s">
        <v>140</v>
      </c>
      <c r="D111" s="1" t="s">
        <v>141</v>
      </c>
      <c r="E111" s="1">
        <v>2</v>
      </c>
      <c r="F111" s="1" t="s">
        <v>142</v>
      </c>
      <c r="G111" s="1">
        <v>47</v>
      </c>
      <c r="H111" s="1">
        <v>0.6</v>
      </c>
      <c r="I111" s="1" t="s">
        <v>144</v>
      </c>
    </row>
    <row r="112" spans="1:9">
      <c r="A112" s="1" t="s">
        <v>110</v>
      </c>
      <c r="B112" s="4">
        <v>40773</v>
      </c>
      <c r="C112" s="1" t="s">
        <v>140</v>
      </c>
      <c r="D112" s="1" t="s">
        <v>141</v>
      </c>
      <c r="E112" s="1">
        <v>2</v>
      </c>
      <c r="F112" s="1" t="s">
        <v>142</v>
      </c>
      <c r="G112" s="1">
        <v>46</v>
      </c>
      <c r="H112" s="1">
        <v>0.4</v>
      </c>
      <c r="I112" s="1" t="s">
        <v>144</v>
      </c>
    </row>
    <row r="113" spans="1:9">
      <c r="A113" s="1" t="s">
        <v>110</v>
      </c>
      <c r="B113" s="4">
        <v>40773</v>
      </c>
      <c r="C113" s="1" t="s">
        <v>140</v>
      </c>
      <c r="D113" s="1" t="s">
        <v>141</v>
      </c>
      <c r="E113" s="1">
        <v>2</v>
      </c>
      <c r="F113" s="1" t="s">
        <v>142</v>
      </c>
      <c r="G113" s="1">
        <v>41</v>
      </c>
      <c r="H113" s="1">
        <v>0.6</v>
      </c>
      <c r="I113" s="1" t="s">
        <v>144</v>
      </c>
    </row>
    <row r="114" spans="1:9">
      <c r="A114" s="1" t="s">
        <v>110</v>
      </c>
      <c r="B114" s="4">
        <v>40773</v>
      </c>
      <c r="C114" s="1" t="s">
        <v>140</v>
      </c>
      <c r="D114" s="1" t="s">
        <v>141</v>
      </c>
      <c r="E114" s="1">
        <v>2</v>
      </c>
      <c r="F114" s="1" t="s">
        <v>142</v>
      </c>
      <c r="G114" s="1">
        <v>44</v>
      </c>
      <c r="H114" s="1">
        <v>0.6</v>
      </c>
      <c r="I114" s="1" t="s">
        <v>144</v>
      </c>
    </row>
    <row r="115" spans="1:9">
      <c r="A115" s="1" t="s">
        <v>110</v>
      </c>
      <c r="B115" s="4">
        <v>40773</v>
      </c>
      <c r="C115" s="1" t="s">
        <v>140</v>
      </c>
      <c r="D115" s="1" t="s">
        <v>141</v>
      </c>
      <c r="E115" s="1">
        <v>2</v>
      </c>
      <c r="F115" s="1" t="s">
        <v>142</v>
      </c>
      <c r="G115" s="1">
        <v>47</v>
      </c>
      <c r="H115" s="1">
        <v>0.8</v>
      </c>
      <c r="I115" s="1" t="s">
        <v>144</v>
      </c>
    </row>
    <row r="116" spans="1:9">
      <c r="A116" s="1" t="s">
        <v>110</v>
      </c>
      <c r="B116" s="4">
        <v>40773</v>
      </c>
      <c r="C116" s="1" t="s">
        <v>140</v>
      </c>
      <c r="D116" s="1" t="s">
        <v>141</v>
      </c>
      <c r="E116" s="1">
        <v>2</v>
      </c>
      <c r="F116" s="1" t="s">
        <v>142</v>
      </c>
      <c r="G116" s="1">
        <v>44</v>
      </c>
      <c r="H116" s="1">
        <v>0.5</v>
      </c>
      <c r="I116" s="1" t="s">
        <v>144</v>
      </c>
    </row>
    <row r="117" spans="1:9">
      <c r="A117" s="1" t="s">
        <v>110</v>
      </c>
      <c r="B117" s="4">
        <v>40773</v>
      </c>
      <c r="C117" s="1" t="s">
        <v>140</v>
      </c>
      <c r="D117" s="1" t="s">
        <v>141</v>
      </c>
      <c r="E117" s="1">
        <v>2</v>
      </c>
      <c r="F117" s="1" t="s">
        <v>142</v>
      </c>
      <c r="G117" s="1">
        <v>46</v>
      </c>
      <c r="H117" s="1">
        <v>0.8</v>
      </c>
      <c r="I117" s="1" t="s">
        <v>144</v>
      </c>
    </row>
    <row r="118" spans="1:9">
      <c r="A118" s="1" t="s">
        <v>110</v>
      </c>
      <c r="B118" s="4">
        <v>40773</v>
      </c>
      <c r="C118" s="1" t="s">
        <v>140</v>
      </c>
      <c r="D118" s="1" t="s">
        <v>141</v>
      </c>
      <c r="E118" s="1">
        <v>2</v>
      </c>
      <c r="F118" s="1" t="s">
        <v>142</v>
      </c>
      <c r="G118" s="1">
        <v>47</v>
      </c>
      <c r="H118" s="1">
        <v>1.1000000000000001</v>
      </c>
      <c r="I118" s="1" t="s">
        <v>144</v>
      </c>
    </row>
    <row r="119" spans="1:9">
      <c r="A119" s="1" t="s">
        <v>110</v>
      </c>
      <c r="B119" s="4">
        <v>40773</v>
      </c>
      <c r="C119" s="1" t="s">
        <v>140</v>
      </c>
      <c r="D119" s="1" t="s">
        <v>141</v>
      </c>
      <c r="E119" s="1">
        <v>2</v>
      </c>
      <c r="F119" s="1" t="s">
        <v>142</v>
      </c>
      <c r="G119" s="1">
        <v>52</v>
      </c>
      <c r="H119" s="1">
        <v>1</v>
      </c>
      <c r="I119" s="1" t="s">
        <v>144</v>
      </c>
    </row>
    <row r="120" spans="1:9">
      <c r="A120" s="1" t="s">
        <v>110</v>
      </c>
      <c r="B120" s="4">
        <v>40773</v>
      </c>
      <c r="C120" s="1" t="s">
        <v>140</v>
      </c>
      <c r="D120" s="1" t="s">
        <v>141</v>
      </c>
      <c r="E120" s="1">
        <v>2</v>
      </c>
      <c r="F120" s="1" t="s">
        <v>142</v>
      </c>
      <c r="G120" s="1">
        <v>47</v>
      </c>
      <c r="H120" s="1">
        <v>0.6</v>
      </c>
      <c r="I120" s="1" t="s">
        <v>144</v>
      </c>
    </row>
    <row r="121" spans="1:9">
      <c r="A121" s="1" t="s">
        <v>110</v>
      </c>
      <c r="B121" s="4">
        <v>40773</v>
      </c>
      <c r="C121" s="1" t="s">
        <v>140</v>
      </c>
      <c r="D121" s="1" t="s">
        <v>141</v>
      </c>
      <c r="E121" s="1">
        <v>2</v>
      </c>
      <c r="F121" s="1" t="s">
        <v>142</v>
      </c>
      <c r="G121" s="1">
        <v>49</v>
      </c>
      <c r="H121" s="1">
        <v>0.7</v>
      </c>
      <c r="I121" s="1" t="s">
        <v>144</v>
      </c>
    </row>
    <row r="122" spans="1:9">
      <c r="A122" s="1" t="s">
        <v>110</v>
      </c>
      <c r="B122" s="4">
        <v>40773</v>
      </c>
      <c r="C122" s="1" t="s">
        <v>140</v>
      </c>
      <c r="D122" s="1" t="s">
        <v>141</v>
      </c>
      <c r="E122" s="1">
        <v>2</v>
      </c>
      <c r="F122" s="1" t="s">
        <v>142</v>
      </c>
      <c r="G122" s="1">
        <v>47</v>
      </c>
      <c r="H122" s="1">
        <v>0.6</v>
      </c>
      <c r="I122" s="1" t="s">
        <v>144</v>
      </c>
    </row>
    <row r="123" spans="1:9">
      <c r="A123" s="1" t="s">
        <v>110</v>
      </c>
      <c r="B123" s="4">
        <v>40773</v>
      </c>
      <c r="C123" s="1" t="s">
        <v>140</v>
      </c>
      <c r="D123" s="1" t="s">
        <v>141</v>
      </c>
      <c r="E123" s="1">
        <v>2</v>
      </c>
      <c r="F123" s="1" t="s">
        <v>142</v>
      </c>
      <c r="G123" s="1">
        <v>38</v>
      </c>
      <c r="H123" s="1">
        <v>0.2</v>
      </c>
      <c r="I123" s="1" t="s">
        <v>144</v>
      </c>
    </row>
    <row r="124" spans="1:9">
      <c r="A124" s="1" t="s">
        <v>110</v>
      </c>
      <c r="B124" s="4">
        <v>40773</v>
      </c>
      <c r="C124" s="1" t="s">
        <v>140</v>
      </c>
      <c r="D124" s="1" t="s">
        <v>141</v>
      </c>
      <c r="E124" s="1">
        <v>2</v>
      </c>
      <c r="F124" s="1" t="s">
        <v>146</v>
      </c>
      <c r="G124" s="1">
        <v>56</v>
      </c>
      <c r="H124" s="1">
        <v>2.2000000000000002</v>
      </c>
      <c r="I124" s="1" t="s">
        <v>144</v>
      </c>
    </row>
    <row r="125" spans="1:9">
      <c r="A125" s="1" t="s">
        <v>110</v>
      </c>
      <c r="B125" s="4">
        <v>40773</v>
      </c>
      <c r="C125" s="1" t="s">
        <v>140</v>
      </c>
      <c r="D125" s="1" t="s">
        <v>141</v>
      </c>
      <c r="E125" s="1">
        <v>2</v>
      </c>
      <c r="F125" s="1" t="s">
        <v>146</v>
      </c>
      <c r="G125" s="1">
        <v>46</v>
      </c>
      <c r="H125" s="1">
        <v>0.9</v>
      </c>
      <c r="I125" s="1" t="s">
        <v>144</v>
      </c>
    </row>
    <row r="126" spans="1:9">
      <c r="A126" s="1" t="s">
        <v>110</v>
      </c>
      <c r="B126" s="4">
        <v>40773</v>
      </c>
      <c r="C126" s="1" t="s">
        <v>140</v>
      </c>
      <c r="D126" s="1" t="s">
        <v>141</v>
      </c>
      <c r="E126" s="1">
        <v>2</v>
      </c>
      <c r="F126" s="1" t="s">
        <v>146</v>
      </c>
      <c r="G126" s="1">
        <v>42</v>
      </c>
      <c r="H126" s="1">
        <v>0.7</v>
      </c>
      <c r="I126" s="1" t="s">
        <v>144</v>
      </c>
    </row>
    <row r="127" spans="1:9">
      <c r="A127" s="1" t="s">
        <v>110</v>
      </c>
      <c r="B127" s="4">
        <v>40773</v>
      </c>
      <c r="C127" s="1" t="s">
        <v>140</v>
      </c>
      <c r="D127" s="1" t="s">
        <v>147</v>
      </c>
      <c r="E127" s="1">
        <v>1</v>
      </c>
      <c r="F127" s="1" t="s">
        <v>142</v>
      </c>
      <c r="G127" s="1">
        <v>112</v>
      </c>
      <c r="H127" s="1">
        <v>16.5</v>
      </c>
      <c r="I127" s="1" t="s">
        <v>144</v>
      </c>
    </row>
    <row r="128" spans="1:9">
      <c r="A128" s="1" t="s">
        <v>110</v>
      </c>
      <c r="B128" s="4">
        <v>40773</v>
      </c>
      <c r="C128" s="1" t="s">
        <v>140</v>
      </c>
      <c r="D128" s="1" t="s">
        <v>147</v>
      </c>
      <c r="E128" s="1">
        <v>1</v>
      </c>
      <c r="F128" s="1" t="s">
        <v>142</v>
      </c>
      <c r="G128" s="1">
        <v>111</v>
      </c>
      <c r="H128" s="1">
        <v>14.5</v>
      </c>
      <c r="I128" s="1" t="s">
        <v>144</v>
      </c>
    </row>
    <row r="129" spans="1:9">
      <c r="A129" s="1" t="s">
        <v>110</v>
      </c>
      <c r="B129" s="4">
        <v>40773</v>
      </c>
      <c r="C129" s="1" t="s">
        <v>140</v>
      </c>
      <c r="D129" s="1" t="s">
        <v>147</v>
      </c>
      <c r="E129" s="1">
        <v>1</v>
      </c>
      <c r="F129" s="1" t="s">
        <v>142</v>
      </c>
      <c r="G129" s="1">
        <v>54</v>
      </c>
      <c r="H129" s="1">
        <v>1.7</v>
      </c>
      <c r="I129" s="1" t="s">
        <v>144</v>
      </c>
    </row>
    <row r="130" spans="1:9">
      <c r="A130" s="1" t="s">
        <v>110</v>
      </c>
      <c r="B130" s="4">
        <v>40773</v>
      </c>
      <c r="C130" s="1" t="s">
        <v>140</v>
      </c>
      <c r="D130" s="1" t="s">
        <v>147</v>
      </c>
      <c r="E130" s="1">
        <v>1</v>
      </c>
      <c r="F130" s="1" t="s">
        <v>142</v>
      </c>
      <c r="G130" s="1">
        <v>55</v>
      </c>
      <c r="H130" s="1">
        <v>1.5</v>
      </c>
      <c r="I130" s="1" t="s">
        <v>144</v>
      </c>
    </row>
    <row r="131" spans="1:9">
      <c r="A131" s="1" t="s">
        <v>110</v>
      </c>
      <c r="B131" s="4">
        <v>40773</v>
      </c>
      <c r="C131" s="1" t="s">
        <v>140</v>
      </c>
      <c r="D131" s="1" t="s">
        <v>147</v>
      </c>
      <c r="E131" s="1">
        <v>1</v>
      </c>
      <c r="F131" s="1" t="s">
        <v>142</v>
      </c>
      <c r="G131" s="1">
        <v>54</v>
      </c>
      <c r="H131" s="1">
        <v>2</v>
      </c>
      <c r="I131" s="1" t="s">
        <v>144</v>
      </c>
    </row>
    <row r="132" spans="1:9">
      <c r="A132" s="1" t="s">
        <v>110</v>
      </c>
      <c r="B132" s="4">
        <v>40773</v>
      </c>
      <c r="C132" s="1" t="s">
        <v>140</v>
      </c>
      <c r="D132" s="1" t="s">
        <v>147</v>
      </c>
      <c r="E132" s="1">
        <v>1</v>
      </c>
      <c r="F132" s="1" t="s">
        <v>142</v>
      </c>
      <c r="G132" s="1">
        <v>51</v>
      </c>
      <c r="H132" s="1">
        <v>1</v>
      </c>
      <c r="I132" s="1" t="s">
        <v>144</v>
      </c>
    </row>
    <row r="133" spans="1:9">
      <c r="A133" s="1" t="s">
        <v>110</v>
      </c>
      <c r="B133" s="4">
        <v>40773</v>
      </c>
      <c r="C133" s="1" t="s">
        <v>140</v>
      </c>
      <c r="D133" s="1" t="s">
        <v>147</v>
      </c>
      <c r="E133" s="1">
        <v>1</v>
      </c>
      <c r="F133" s="1" t="s">
        <v>148</v>
      </c>
      <c r="G133" s="1">
        <v>70</v>
      </c>
      <c r="H133" s="1">
        <v>3.8</v>
      </c>
      <c r="I133" s="1" t="s">
        <v>144</v>
      </c>
    </row>
    <row r="134" spans="1:9">
      <c r="A134" s="1" t="s">
        <v>110</v>
      </c>
      <c r="B134" s="4">
        <v>40773</v>
      </c>
      <c r="C134" s="1" t="s">
        <v>140</v>
      </c>
      <c r="D134" s="1" t="s">
        <v>147</v>
      </c>
      <c r="E134" s="1">
        <v>1</v>
      </c>
      <c r="F134" s="1" t="s">
        <v>145</v>
      </c>
      <c r="G134" s="1">
        <v>132</v>
      </c>
      <c r="H134" s="1">
        <v>24.5</v>
      </c>
      <c r="I134" s="1" t="s">
        <v>144</v>
      </c>
    </row>
    <row r="135" spans="1:9">
      <c r="A135" s="1" t="s">
        <v>110</v>
      </c>
      <c r="B135" s="4">
        <v>40773</v>
      </c>
      <c r="C135" s="1" t="s">
        <v>140</v>
      </c>
      <c r="D135" s="1" t="s">
        <v>147</v>
      </c>
      <c r="E135" s="1">
        <v>1</v>
      </c>
      <c r="F135" s="1" t="s">
        <v>145</v>
      </c>
      <c r="G135" s="1">
        <v>150</v>
      </c>
      <c r="H135" s="1" t="s">
        <v>149</v>
      </c>
      <c r="I135" s="1" t="s">
        <v>144</v>
      </c>
    </row>
    <row r="136" spans="1:9">
      <c r="A136" s="1" t="s">
        <v>110</v>
      </c>
      <c r="B136" s="4">
        <v>40773</v>
      </c>
      <c r="C136" s="1" t="s">
        <v>140</v>
      </c>
      <c r="D136" s="1" t="s">
        <v>147</v>
      </c>
      <c r="E136" s="1">
        <v>1</v>
      </c>
      <c r="F136" s="1" t="s">
        <v>146</v>
      </c>
      <c r="G136" s="1">
        <v>48</v>
      </c>
      <c r="H136" s="1">
        <v>0.8</v>
      </c>
      <c r="I136" s="1" t="s">
        <v>144</v>
      </c>
    </row>
    <row r="137" spans="1:9">
      <c r="A137" s="1" t="s">
        <v>110</v>
      </c>
      <c r="B137" s="4">
        <v>40773</v>
      </c>
      <c r="C137" s="1" t="s">
        <v>140</v>
      </c>
      <c r="D137" s="1" t="s">
        <v>147</v>
      </c>
      <c r="E137" s="1">
        <v>1</v>
      </c>
      <c r="F137" s="1" t="s">
        <v>146</v>
      </c>
      <c r="G137" s="1">
        <v>50</v>
      </c>
      <c r="H137" s="1">
        <v>0.8</v>
      </c>
      <c r="I137" s="1" t="s">
        <v>144</v>
      </c>
    </row>
    <row r="138" spans="1:9">
      <c r="A138" s="1" t="s">
        <v>110</v>
      </c>
      <c r="B138" s="4">
        <v>40773</v>
      </c>
      <c r="C138" s="1" t="s">
        <v>140</v>
      </c>
      <c r="D138" s="1" t="s">
        <v>147</v>
      </c>
      <c r="E138" s="1">
        <v>1</v>
      </c>
      <c r="F138" s="1" t="s">
        <v>146</v>
      </c>
      <c r="G138" s="1">
        <v>46</v>
      </c>
      <c r="H138" s="1">
        <v>0.6</v>
      </c>
      <c r="I138" s="1" t="s">
        <v>144</v>
      </c>
    </row>
    <row r="139" spans="1:9">
      <c r="A139" s="1" t="s">
        <v>110</v>
      </c>
      <c r="B139" s="4">
        <v>40773</v>
      </c>
      <c r="C139" s="1" t="s">
        <v>140</v>
      </c>
      <c r="D139" s="1" t="s">
        <v>147</v>
      </c>
      <c r="E139" s="1">
        <v>2</v>
      </c>
      <c r="F139" s="1" t="s">
        <v>142</v>
      </c>
      <c r="G139" s="1">
        <v>54</v>
      </c>
      <c r="H139" s="1">
        <v>1.6</v>
      </c>
      <c r="I139" s="1" t="s">
        <v>144</v>
      </c>
    </row>
    <row r="140" spans="1:9">
      <c r="A140" s="1" t="s">
        <v>110</v>
      </c>
      <c r="B140" s="4">
        <v>40773</v>
      </c>
      <c r="C140" s="1" t="s">
        <v>140</v>
      </c>
      <c r="D140" s="1" t="s">
        <v>147</v>
      </c>
      <c r="E140" s="1">
        <v>2</v>
      </c>
      <c r="F140" s="1" t="s">
        <v>142</v>
      </c>
      <c r="G140" s="1">
        <v>100</v>
      </c>
      <c r="H140" s="1">
        <v>11.25</v>
      </c>
      <c r="I140" s="1" t="s">
        <v>144</v>
      </c>
    </row>
    <row r="141" spans="1:9">
      <c r="A141" s="1" t="s">
        <v>110</v>
      </c>
      <c r="B141" s="4">
        <v>40773</v>
      </c>
      <c r="C141" s="1" t="s">
        <v>140</v>
      </c>
      <c r="D141" s="1" t="s">
        <v>147</v>
      </c>
      <c r="E141" s="1">
        <v>2</v>
      </c>
      <c r="F141" s="1" t="s">
        <v>142</v>
      </c>
      <c r="G141" s="1">
        <v>104</v>
      </c>
      <c r="H141" s="1">
        <v>12.5</v>
      </c>
      <c r="I141" s="1" t="s">
        <v>144</v>
      </c>
    </row>
    <row r="142" spans="1:9">
      <c r="A142" s="1" t="s">
        <v>110</v>
      </c>
      <c r="B142" s="4">
        <v>40773</v>
      </c>
      <c r="C142" s="1" t="s">
        <v>140</v>
      </c>
      <c r="D142" s="1" t="s">
        <v>147</v>
      </c>
      <c r="E142" s="1">
        <v>2</v>
      </c>
      <c r="F142" s="1" t="s">
        <v>142</v>
      </c>
      <c r="G142" s="1">
        <v>106</v>
      </c>
      <c r="H142" s="1">
        <v>14</v>
      </c>
      <c r="I142" s="1" t="s">
        <v>144</v>
      </c>
    </row>
    <row r="143" spans="1:9">
      <c r="A143" s="1" t="s">
        <v>110</v>
      </c>
      <c r="B143" s="4">
        <v>40773</v>
      </c>
      <c r="C143" s="1" t="s">
        <v>140</v>
      </c>
      <c r="D143" s="1" t="s">
        <v>147</v>
      </c>
      <c r="E143" s="1">
        <v>2</v>
      </c>
      <c r="F143" s="1" t="s">
        <v>142</v>
      </c>
      <c r="G143" s="1">
        <v>103</v>
      </c>
      <c r="H143" s="1">
        <v>12</v>
      </c>
      <c r="I143" s="1" t="s">
        <v>144</v>
      </c>
    </row>
    <row r="144" spans="1:9">
      <c r="A144" s="1" t="s">
        <v>110</v>
      </c>
      <c r="B144" s="4">
        <v>40773</v>
      </c>
      <c r="C144" s="1" t="s">
        <v>140</v>
      </c>
      <c r="D144" s="1" t="s">
        <v>147</v>
      </c>
      <c r="E144" s="1">
        <v>2</v>
      </c>
      <c r="F144" s="1" t="s">
        <v>146</v>
      </c>
      <c r="G144" s="1">
        <v>44</v>
      </c>
      <c r="H144" s="1">
        <v>0.4</v>
      </c>
      <c r="I144" s="1" t="s">
        <v>144</v>
      </c>
    </row>
    <row r="145" spans="1:10">
      <c r="A145" s="1" t="s">
        <v>110</v>
      </c>
      <c r="B145" s="4">
        <v>40773</v>
      </c>
      <c r="C145" s="1" t="s">
        <v>140</v>
      </c>
      <c r="D145" s="1" t="s">
        <v>147</v>
      </c>
      <c r="E145" s="1">
        <v>2</v>
      </c>
      <c r="F145" s="1" t="s">
        <v>146</v>
      </c>
      <c r="G145" s="1">
        <v>53</v>
      </c>
      <c r="H145" s="1">
        <v>1</v>
      </c>
      <c r="I145" s="1" t="s">
        <v>144</v>
      </c>
    </row>
    <row r="146" spans="1:10">
      <c r="A146" s="1" t="s">
        <v>110</v>
      </c>
      <c r="B146" s="4">
        <v>40773</v>
      </c>
      <c r="C146" s="1" t="s">
        <v>140</v>
      </c>
      <c r="D146" s="1" t="s">
        <v>147</v>
      </c>
      <c r="E146" s="1">
        <v>2</v>
      </c>
      <c r="F146" s="1" t="s">
        <v>146</v>
      </c>
      <c r="G146" s="1">
        <v>46</v>
      </c>
      <c r="H146" s="1">
        <v>0.8</v>
      </c>
      <c r="I146" s="1" t="s">
        <v>144</v>
      </c>
    </row>
    <row r="147" spans="1:10">
      <c r="A147" s="1" t="s">
        <v>110</v>
      </c>
      <c r="B147" s="4">
        <v>40773</v>
      </c>
      <c r="C147" s="1" t="s">
        <v>140</v>
      </c>
      <c r="D147" s="1" t="s">
        <v>147</v>
      </c>
      <c r="E147" s="1">
        <v>2</v>
      </c>
      <c r="F147" s="1" t="s">
        <v>146</v>
      </c>
      <c r="G147" s="1">
        <v>19</v>
      </c>
      <c r="I147" s="1" t="s">
        <v>144</v>
      </c>
    </row>
    <row r="148" spans="1:10">
      <c r="A148" s="1" t="s">
        <v>110</v>
      </c>
      <c r="B148" s="4">
        <v>40773</v>
      </c>
      <c r="C148" s="1" t="s">
        <v>140</v>
      </c>
      <c r="D148" s="1" t="s">
        <v>147</v>
      </c>
      <c r="E148" s="1">
        <v>2</v>
      </c>
      <c r="F148" s="1" t="s">
        <v>146</v>
      </c>
      <c r="G148" s="1">
        <v>52</v>
      </c>
      <c r="H148" s="1">
        <v>1.2</v>
      </c>
      <c r="I148" s="1" t="s">
        <v>144</v>
      </c>
    </row>
    <row r="149" spans="1:10">
      <c r="A149" s="1" t="s">
        <v>110</v>
      </c>
      <c r="B149" s="4">
        <v>40773</v>
      </c>
      <c r="C149" s="1" t="s">
        <v>140</v>
      </c>
      <c r="D149" s="1" t="s">
        <v>147</v>
      </c>
      <c r="E149" s="1">
        <v>2</v>
      </c>
      <c r="F149" s="1" t="s">
        <v>145</v>
      </c>
      <c r="G149" s="1">
        <v>126</v>
      </c>
      <c r="H149" s="1">
        <v>24.5</v>
      </c>
      <c r="I149" s="1" t="s">
        <v>144</v>
      </c>
    </row>
    <row r="150" spans="1:10">
      <c r="A150" s="1" t="s">
        <v>110</v>
      </c>
      <c r="B150" s="4">
        <v>40773</v>
      </c>
      <c r="C150" s="1" t="s">
        <v>140</v>
      </c>
      <c r="D150" s="1" t="s">
        <v>150</v>
      </c>
      <c r="E150" s="1">
        <v>1</v>
      </c>
      <c r="F150" s="1" t="s">
        <v>142</v>
      </c>
      <c r="G150" s="1">
        <v>55</v>
      </c>
      <c r="H150" s="1">
        <v>1.4</v>
      </c>
      <c r="I150" s="1" t="s">
        <v>144</v>
      </c>
    </row>
    <row r="151" spans="1:10">
      <c r="A151" s="1" t="s">
        <v>110</v>
      </c>
      <c r="B151" s="4">
        <v>40773</v>
      </c>
      <c r="C151" s="1" t="s">
        <v>140</v>
      </c>
      <c r="D151" s="1" t="s">
        <v>150</v>
      </c>
      <c r="E151" s="1">
        <v>1</v>
      </c>
      <c r="F151" s="1" t="s">
        <v>142</v>
      </c>
      <c r="G151" s="1">
        <v>102</v>
      </c>
      <c r="H151" s="1">
        <v>10.5</v>
      </c>
      <c r="I151" s="1" t="s">
        <v>144</v>
      </c>
    </row>
    <row r="152" spans="1:10">
      <c r="A152" s="1" t="s">
        <v>110</v>
      </c>
      <c r="B152" s="4">
        <v>40773</v>
      </c>
      <c r="C152" s="1" t="s">
        <v>140</v>
      </c>
      <c r="D152" s="1" t="s">
        <v>150</v>
      </c>
      <c r="E152" s="1">
        <v>1</v>
      </c>
      <c r="F152" s="1" t="s">
        <v>142</v>
      </c>
      <c r="G152" s="1">
        <v>82</v>
      </c>
      <c r="H152" s="1">
        <v>6.3</v>
      </c>
      <c r="I152" s="1" t="s">
        <v>144</v>
      </c>
    </row>
    <row r="153" spans="1:10">
      <c r="A153" s="1" t="s">
        <v>110</v>
      </c>
      <c r="B153" s="4">
        <v>40773</v>
      </c>
      <c r="C153" s="1" t="s">
        <v>140</v>
      </c>
      <c r="D153" s="1" t="s">
        <v>150</v>
      </c>
      <c r="E153" s="1">
        <v>1</v>
      </c>
      <c r="F153" s="1" t="s">
        <v>145</v>
      </c>
      <c r="G153" s="1">
        <v>126</v>
      </c>
      <c r="H153" s="1">
        <v>21</v>
      </c>
      <c r="I153" s="1" t="s">
        <v>144</v>
      </c>
    </row>
    <row r="154" spans="1:10">
      <c r="A154" s="1" t="s">
        <v>110</v>
      </c>
      <c r="B154" s="4">
        <v>40773</v>
      </c>
      <c r="C154" s="1" t="s">
        <v>140</v>
      </c>
      <c r="D154" s="1" t="s">
        <v>150</v>
      </c>
      <c r="E154" s="1">
        <v>1</v>
      </c>
      <c r="F154" s="1" t="s">
        <v>148</v>
      </c>
      <c r="G154" s="1">
        <v>71</v>
      </c>
      <c r="H154" s="1">
        <v>3.8</v>
      </c>
      <c r="I154" s="1" t="s">
        <v>144</v>
      </c>
    </row>
    <row r="155" spans="1:10">
      <c r="A155" s="1" t="s">
        <v>110</v>
      </c>
      <c r="B155" s="4">
        <v>40773</v>
      </c>
      <c r="C155" s="1" t="s">
        <v>140</v>
      </c>
      <c r="D155" s="1" t="s">
        <v>150</v>
      </c>
      <c r="E155" s="1">
        <v>1</v>
      </c>
      <c r="F155" s="1" t="s">
        <v>148</v>
      </c>
      <c r="G155" s="1">
        <v>76</v>
      </c>
      <c r="H155" s="1">
        <v>5.2</v>
      </c>
      <c r="I155" s="1" t="s">
        <v>144</v>
      </c>
    </row>
    <row r="156" spans="1:10">
      <c r="A156" s="1" t="s">
        <v>110</v>
      </c>
      <c r="B156" s="4">
        <v>40773</v>
      </c>
      <c r="C156" s="1" t="s">
        <v>140</v>
      </c>
      <c r="D156" s="1" t="s">
        <v>150</v>
      </c>
      <c r="E156" s="1">
        <v>2</v>
      </c>
      <c r="F156" s="1" t="s">
        <v>142</v>
      </c>
      <c r="G156" s="1">
        <v>91</v>
      </c>
      <c r="H156" s="1">
        <v>9.75</v>
      </c>
      <c r="I156" s="1" t="s">
        <v>144</v>
      </c>
      <c r="J156" s="1" t="s">
        <v>152</v>
      </c>
    </row>
    <row r="157" spans="1:10">
      <c r="A157" s="1" t="s">
        <v>110</v>
      </c>
      <c r="B157" s="4">
        <v>40773</v>
      </c>
      <c r="C157" s="1" t="s">
        <v>140</v>
      </c>
      <c r="D157" s="1" t="s">
        <v>150</v>
      </c>
      <c r="E157" s="1">
        <v>2</v>
      </c>
      <c r="F157" s="1" t="s">
        <v>142</v>
      </c>
      <c r="G157" s="1">
        <v>98</v>
      </c>
      <c r="H157" s="1">
        <v>12</v>
      </c>
      <c r="I157" s="1" t="s">
        <v>144</v>
      </c>
    </row>
    <row r="158" spans="1:10">
      <c r="A158" s="1" t="s">
        <v>110</v>
      </c>
      <c r="B158" s="4">
        <v>40773</v>
      </c>
      <c r="C158" s="1" t="s">
        <v>140</v>
      </c>
      <c r="D158" s="1" t="s">
        <v>150</v>
      </c>
      <c r="E158" s="1">
        <v>2</v>
      </c>
      <c r="F158" s="1" t="s">
        <v>142</v>
      </c>
      <c r="G158" s="1">
        <v>56</v>
      </c>
      <c r="H158" s="1">
        <v>25</v>
      </c>
      <c r="I158" s="1" t="s">
        <v>144</v>
      </c>
    </row>
    <row r="159" spans="1:10">
      <c r="A159" s="1" t="s">
        <v>110</v>
      </c>
      <c r="B159" s="4">
        <v>40773</v>
      </c>
      <c r="C159" s="1" t="s">
        <v>140</v>
      </c>
      <c r="D159" s="1" t="s">
        <v>150</v>
      </c>
      <c r="E159" s="1">
        <v>2</v>
      </c>
      <c r="F159" s="1" t="s">
        <v>142</v>
      </c>
      <c r="G159" s="1">
        <v>51</v>
      </c>
      <c r="H159" s="1">
        <v>2.4</v>
      </c>
      <c r="I159" s="1" t="s">
        <v>144</v>
      </c>
    </row>
    <row r="160" spans="1:10">
      <c r="A160" s="1" t="s">
        <v>110</v>
      </c>
      <c r="B160" s="4">
        <v>40773</v>
      </c>
      <c r="C160" s="1" t="s">
        <v>140</v>
      </c>
      <c r="D160" s="1" t="s">
        <v>150</v>
      </c>
      <c r="E160" s="1">
        <v>2</v>
      </c>
      <c r="F160" s="1" t="s">
        <v>142</v>
      </c>
      <c r="G160" s="1">
        <v>102</v>
      </c>
      <c r="H160" s="1">
        <v>1.75</v>
      </c>
      <c r="I160" s="1" t="s">
        <v>144</v>
      </c>
    </row>
    <row r="161" spans="1:9">
      <c r="A161" s="1" t="s">
        <v>110</v>
      </c>
      <c r="B161" s="4">
        <v>40773</v>
      </c>
      <c r="C161" s="1" t="s">
        <v>140</v>
      </c>
      <c r="D161" s="1" t="s">
        <v>150</v>
      </c>
      <c r="E161" s="1">
        <v>2</v>
      </c>
      <c r="F161" s="1" t="s">
        <v>142</v>
      </c>
      <c r="G161" s="1">
        <v>57</v>
      </c>
      <c r="H161" s="1">
        <v>11.5</v>
      </c>
      <c r="I161" s="1" t="s">
        <v>144</v>
      </c>
    </row>
    <row r="162" spans="1:9">
      <c r="A162" s="1" t="s">
        <v>110</v>
      </c>
      <c r="B162" s="4">
        <v>40773</v>
      </c>
      <c r="C162" s="1" t="s">
        <v>140</v>
      </c>
      <c r="D162" s="1" t="s">
        <v>150</v>
      </c>
      <c r="E162" s="1">
        <v>2</v>
      </c>
      <c r="F162" s="1" t="s">
        <v>142</v>
      </c>
      <c r="G162" s="1">
        <v>54</v>
      </c>
      <c r="H162" s="1">
        <v>2.4</v>
      </c>
      <c r="I162" s="1" t="s">
        <v>144</v>
      </c>
    </row>
    <row r="163" spans="1:9">
      <c r="A163" s="1" t="s">
        <v>110</v>
      </c>
      <c r="B163" s="4">
        <v>40773</v>
      </c>
      <c r="C163" s="1" t="s">
        <v>140</v>
      </c>
      <c r="D163" s="1" t="s">
        <v>150</v>
      </c>
      <c r="E163" s="1">
        <v>2</v>
      </c>
      <c r="F163" s="1" t="s">
        <v>142</v>
      </c>
      <c r="G163" s="1">
        <v>63</v>
      </c>
      <c r="H163" s="1">
        <v>1.8</v>
      </c>
      <c r="I163" s="1" t="s">
        <v>144</v>
      </c>
    </row>
    <row r="164" spans="1:9">
      <c r="A164" s="1" t="s">
        <v>110</v>
      </c>
      <c r="B164" s="4">
        <v>40773</v>
      </c>
      <c r="C164" s="1" t="s">
        <v>140</v>
      </c>
      <c r="D164" s="1" t="s">
        <v>150</v>
      </c>
      <c r="E164" s="1">
        <v>2</v>
      </c>
      <c r="F164" s="1" t="s">
        <v>142</v>
      </c>
      <c r="G164" s="1">
        <v>54</v>
      </c>
      <c r="H164" s="1">
        <v>2.6</v>
      </c>
      <c r="I164" s="1" t="s">
        <v>144</v>
      </c>
    </row>
    <row r="165" spans="1:9">
      <c r="A165" s="1" t="s">
        <v>110</v>
      </c>
      <c r="B165" s="4">
        <v>40773</v>
      </c>
      <c r="C165" s="1" t="s">
        <v>140</v>
      </c>
      <c r="D165" s="1" t="s">
        <v>150</v>
      </c>
      <c r="E165" s="1">
        <v>2</v>
      </c>
      <c r="F165" s="1" t="s">
        <v>142</v>
      </c>
      <c r="G165" s="1">
        <v>106</v>
      </c>
      <c r="H165" s="1">
        <v>6.25</v>
      </c>
      <c r="I165" s="1" t="s">
        <v>144</v>
      </c>
    </row>
    <row r="166" spans="1:9">
      <c r="A166" s="1" t="s">
        <v>110</v>
      </c>
      <c r="B166" s="4">
        <v>40773</v>
      </c>
      <c r="C166" s="1" t="s">
        <v>140</v>
      </c>
      <c r="D166" s="1" t="s">
        <v>150</v>
      </c>
      <c r="E166" s="1">
        <v>2</v>
      </c>
      <c r="F166" s="1" t="s">
        <v>142</v>
      </c>
      <c r="G166" s="1">
        <v>81</v>
      </c>
      <c r="H166" s="1">
        <v>12.25</v>
      </c>
      <c r="I166" s="1" t="s">
        <v>144</v>
      </c>
    </row>
    <row r="167" spans="1:9">
      <c r="A167" s="1" t="s">
        <v>110</v>
      </c>
      <c r="B167" s="4">
        <v>40773</v>
      </c>
      <c r="C167" s="1" t="s">
        <v>140</v>
      </c>
      <c r="D167" s="1" t="s">
        <v>150</v>
      </c>
      <c r="E167" s="1">
        <v>2</v>
      </c>
      <c r="F167" s="1" t="s">
        <v>142</v>
      </c>
      <c r="G167" s="1">
        <v>56</v>
      </c>
      <c r="H167" s="1">
        <v>5.78</v>
      </c>
      <c r="I167" s="1" t="s">
        <v>144</v>
      </c>
    </row>
    <row r="168" spans="1:9">
      <c r="A168" s="1" t="s">
        <v>110</v>
      </c>
      <c r="B168" s="4">
        <v>40773</v>
      </c>
      <c r="C168" s="1" t="s">
        <v>140</v>
      </c>
      <c r="D168" s="1" t="s">
        <v>150</v>
      </c>
      <c r="E168" s="1">
        <v>2</v>
      </c>
      <c r="F168" s="1" t="s">
        <v>142</v>
      </c>
      <c r="G168" s="1">
        <v>51</v>
      </c>
      <c r="H168" s="1">
        <v>2.2000000000000002</v>
      </c>
      <c r="I168" s="1" t="s">
        <v>144</v>
      </c>
    </row>
    <row r="169" spans="1:9">
      <c r="A169" s="1" t="s">
        <v>110</v>
      </c>
      <c r="B169" s="4">
        <v>40773</v>
      </c>
      <c r="C169" s="1" t="s">
        <v>140</v>
      </c>
      <c r="D169" s="1" t="s">
        <v>150</v>
      </c>
      <c r="E169" s="1">
        <v>2</v>
      </c>
      <c r="F169" s="1" t="s">
        <v>142</v>
      </c>
      <c r="G169" s="1">
        <v>111</v>
      </c>
      <c r="H169" s="1">
        <v>1.1000000000000001</v>
      </c>
      <c r="I169" s="1" t="s">
        <v>144</v>
      </c>
    </row>
    <row r="170" spans="1:9">
      <c r="A170" s="1" t="s">
        <v>110</v>
      </c>
      <c r="B170" s="4">
        <v>40773</v>
      </c>
      <c r="C170" s="1" t="s">
        <v>140</v>
      </c>
      <c r="D170" s="1" t="s">
        <v>150</v>
      </c>
      <c r="E170" s="1">
        <v>2</v>
      </c>
      <c r="F170" s="1" t="s">
        <v>142</v>
      </c>
      <c r="G170" s="1">
        <v>79</v>
      </c>
      <c r="H170" s="1">
        <v>14.75</v>
      </c>
      <c r="I170" s="1" t="s">
        <v>144</v>
      </c>
    </row>
    <row r="171" spans="1:9">
      <c r="A171" s="1" t="s">
        <v>110</v>
      </c>
      <c r="B171" s="4">
        <v>40773</v>
      </c>
      <c r="C171" s="1" t="s">
        <v>140</v>
      </c>
      <c r="D171" s="1" t="s">
        <v>150</v>
      </c>
      <c r="E171" s="1">
        <v>2</v>
      </c>
      <c r="F171" s="1" t="s">
        <v>142</v>
      </c>
      <c r="G171" s="1">
        <v>55</v>
      </c>
      <c r="H171" s="1">
        <v>5.3</v>
      </c>
      <c r="I171" s="1" t="s">
        <v>144</v>
      </c>
    </row>
    <row r="172" spans="1:9">
      <c r="A172" s="1" t="s">
        <v>110</v>
      </c>
      <c r="B172" s="4">
        <v>40773</v>
      </c>
      <c r="C172" s="1" t="s">
        <v>140</v>
      </c>
      <c r="D172" s="1" t="s">
        <v>150</v>
      </c>
      <c r="E172" s="1">
        <v>2</v>
      </c>
      <c r="F172" s="1" t="s">
        <v>142</v>
      </c>
      <c r="G172" s="1">
        <v>50</v>
      </c>
      <c r="H172" s="1">
        <v>1.8</v>
      </c>
      <c r="I172" s="1" t="s">
        <v>144</v>
      </c>
    </row>
    <row r="173" spans="1:9">
      <c r="A173" s="1" t="s">
        <v>110</v>
      </c>
      <c r="B173" s="4">
        <v>40773</v>
      </c>
      <c r="C173" s="1" t="s">
        <v>140</v>
      </c>
      <c r="D173" s="1" t="s">
        <v>150</v>
      </c>
      <c r="E173" s="1">
        <v>2</v>
      </c>
      <c r="F173" s="1" t="s">
        <v>142</v>
      </c>
      <c r="G173" s="1">
        <v>112</v>
      </c>
      <c r="H173" s="1">
        <v>1.2</v>
      </c>
      <c r="I173" s="1" t="s">
        <v>144</v>
      </c>
    </row>
    <row r="174" spans="1:9">
      <c r="A174" s="1" t="s">
        <v>110</v>
      </c>
      <c r="B174" s="4">
        <v>40773</v>
      </c>
      <c r="C174" s="1" t="s">
        <v>140</v>
      </c>
      <c r="D174" s="1" t="s">
        <v>150</v>
      </c>
      <c r="E174" s="1">
        <v>2</v>
      </c>
      <c r="F174" s="1" t="s">
        <v>142</v>
      </c>
      <c r="G174" s="1">
        <v>112</v>
      </c>
      <c r="H174" s="1">
        <v>17.25</v>
      </c>
      <c r="I174" s="1" t="s">
        <v>144</v>
      </c>
    </row>
    <row r="175" spans="1:9">
      <c r="A175" s="1" t="s">
        <v>110</v>
      </c>
      <c r="B175" s="4">
        <v>40773</v>
      </c>
      <c r="C175" s="1" t="s">
        <v>140</v>
      </c>
      <c r="D175" s="1" t="s">
        <v>150</v>
      </c>
      <c r="E175" s="1">
        <v>2</v>
      </c>
      <c r="F175" s="1" t="s">
        <v>142</v>
      </c>
      <c r="G175" s="1">
        <v>63</v>
      </c>
      <c r="H175" s="1">
        <v>14.75</v>
      </c>
      <c r="I175" s="1" t="s">
        <v>144</v>
      </c>
    </row>
    <row r="176" spans="1:9">
      <c r="A176" s="1" t="s">
        <v>110</v>
      </c>
      <c r="B176" s="4">
        <v>40773</v>
      </c>
      <c r="C176" s="1" t="s">
        <v>140</v>
      </c>
      <c r="D176" s="1" t="s">
        <v>150</v>
      </c>
      <c r="E176" s="1">
        <v>2</v>
      </c>
      <c r="F176" s="1" t="s">
        <v>142</v>
      </c>
      <c r="G176" s="1">
        <v>69</v>
      </c>
      <c r="H176" s="1">
        <v>1.8</v>
      </c>
      <c r="I176" s="1" t="s">
        <v>144</v>
      </c>
    </row>
    <row r="177" spans="1:10">
      <c r="A177" s="1" t="s">
        <v>110</v>
      </c>
      <c r="B177" s="4">
        <v>40773</v>
      </c>
      <c r="C177" s="1" t="s">
        <v>140</v>
      </c>
      <c r="D177" s="1" t="s">
        <v>150</v>
      </c>
      <c r="E177" s="1">
        <v>2</v>
      </c>
      <c r="F177" s="1" t="s">
        <v>142</v>
      </c>
      <c r="G177" s="1">
        <v>105</v>
      </c>
      <c r="H177" s="1">
        <v>3.6</v>
      </c>
      <c r="I177" s="1" t="s">
        <v>144</v>
      </c>
    </row>
    <row r="178" spans="1:10">
      <c r="A178" s="1" t="s">
        <v>110</v>
      </c>
      <c r="B178" s="4">
        <v>40773</v>
      </c>
      <c r="C178" s="1" t="s">
        <v>140</v>
      </c>
      <c r="D178" s="1" t="s">
        <v>150</v>
      </c>
      <c r="E178" s="1">
        <v>2</v>
      </c>
      <c r="F178" s="1" t="s">
        <v>142</v>
      </c>
      <c r="G178" s="1">
        <v>58</v>
      </c>
      <c r="H178" s="1">
        <v>12</v>
      </c>
      <c r="I178" s="1" t="s">
        <v>144</v>
      </c>
    </row>
    <row r="179" spans="1:10">
      <c r="A179" s="1" t="s">
        <v>110</v>
      </c>
      <c r="B179" s="4">
        <v>40773</v>
      </c>
      <c r="C179" s="1" t="s">
        <v>140</v>
      </c>
      <c r="D179" s="1" t="s">
        <v>150</v>
      </c>
      <c r="E179" s="1">
        <v>2</v>
      </c>
      <c r="F179" s="1" t="s">
        <v>142</v>
      </c>
      <c r="G179" s="1">
        <v>102</v>
      </c>
      <c r="H179" s="1">
        <v>1.6</v>
      </c>
      <c r="I179" s="1" t="s">
        <v>144</v>
      </c>
    </row>
    <row r="180" spans="1:10">
      <c r="A180" s="1" t="s">
        <v>110</v>
      </c>
      <c r="B180" s="4">
        <v>40773</v>
      </c>
      <c r="C180" s="1" t="s">
        <v>140</v>
      </c>
      <c r="D180" s="1" t="s">
        <v>150</v>
      </c>
      <c r="E180" s="1">
        <v>2</v>
      </c>
      <c r="F180" s="1" t="s">
        <v>142</v>
      </c>
      <c r="G180" s="1">
        <v>91</v>
      </c>
      <c r="H180" s="1">
        <v>14.25</v>
      </c>
      <c r="I180" s="1" t="s">
        <v>144</v>
      </c>
    </row>
    <row r="181" spans="1:10">
      <c r="A181" s="1" t="s">
        <v>110</v>
      </c>
      <c r="B181" s="4">
        <v>40773</v>
      </c>
      <c r="C181" s="1" t="s">
        <v>140</v>
      </c>
      <c r="D181" s="1" t="s">
        <v>150</v>
      </c>
      <c r="E181" s="1">
        <v>2</v>
      </c>
      <c r="F181" s="1" t="s">
        <v>145</v>
      </c>
      <c r="G181" s="1">
        <v>129</v>
      </c>
      <c r="H181" s="1">
        <v>21.2</v>
      </c>
      <c r="I181" s="1" t="s">
        <v>144</v>
      </c>
    </row>
    <row r="182" spans="1:10">
      <c r="A182" s="1" t="s">
        <v>110</v>
      </c>
      <c r="B182" s="4">
        <v>40773</v>
      </c>
      <c r="C182" s="1" t="s">
        <v>140</v>
      </c>
      <c r="D182" s="1" t="s">
        <v>150</v>
      </c>
      <c r="E182" s="1">
        <v>2</v>
      </c>
      <c r="F182" s="1" t="s">
        <v>145</v>
      </c>
      <c r="G182" s="1">
        <v>94</v>
      </c>
      <c r="H182" s="1">
        <v>8.75</v>
      </c>
      <c r="I182" s="1" t="s">
        <v>144</v>
      </c>
    </row>
    <row r="183" spans="1:10">
      <c r="A183" s="1" t="s">
        <v>110</v>
      </c>
      <c r="B183" s="4">
        <v>40773</v>
      </c>
      <c r="C183" s="1" t="s">
        <v>140</v>
      </c>
      <c r="D183" s="1" t="s">
        <v>150</v>
      </c>
      <c r="E183" s="1">
        <v>2</v>
      </c>
      <c r="F183" s="1" t="s">
        <v>145</v>
      </c>
      <c r="G183" s="1">
        <v>104</v>
      </c>
      <c r="H183" s="1">
        <v>17</v>
      </c>
      <c r="I183" s="1" t="s">
        <v>144</v>
      </c>
    </row>
    <row r="184" spans="1:10">
      <c r="A184" s="1" t="s">
        <v>110</v>
      </c>
      <c r="B184" s="4">
        <v>40773</v>
      </c>
      <c r="C184" s="1" t="s">
        <v>140</v>
      </c>
      <c r="D184" s="1" t="s">
        <v>150</v>
      </c>
      <c r="E184" s="1">
        <v>2</v>
      </c>
      <c r="F184" s="1" t="s">
        <v>146</v>
      </c>
      <c r="G184" s="1">
        <v>46</v>
      </c>
      <c r="H184" s="1">
        <v>0.75</v>
      </c>
      <c r="I184" s="1" t="s">
        <v>144</v>
      </c>
    </row>
    <row r="185" spans="1:10">
      <c r="A185" s="1" t="s">
        <v>110</v>
      </c>
      <c r="B185" s="4">
        <v>40773</v>
      </c>
      <c r="C185" s="1" t="s">
        <v>140</v>
      </c>
      <c r="D185" s="1" t="s">
        <v>150</v>
      </c>
      <c r="E185" s="1">
        <v>2</v>
      </c>
      <c r="F185" s="1" t="s">
        <v>146</v>
      </c>
      <c r="G185" s="1">
        <v>47</v>
      </c>
      <c r="H185" s="1">
        <v>0.8</v>
      </c>
      <c r="I185" s="1" t="s">
        <v>144</v>
      </c>
    </row>
    <row r="186" spans="1:10">
      <c r="A186" s="1" t="s">
        <v>109</v>
      </c>
      <c r="B186" s="4">
        <v>40779</v>
      </c>
      <c r="C186" s="1" t="s">
        <v>153</v>
      </c>
      <c r="D186" s="1" t="s">
        <v>147</v>
      </c>
      <c r="E186" s="1">
        <v>1</v>
      </c>
      <c r="F186" s="1" t="s">
        <v>145</v>
      </c>
      <c r="G186" s="1">
        <v>116</v>
      </c>
      <c r="H186" s="1">
        <v>16.239999999999998</v>
      </c>
      <c r="J186" s="1" t="s">
        <v>154</v>
      </c>
    </row>
    <row r="187" spans="1:10">
      <c r="A187" s="1" t="s">
        <v>109</v>
      </c>
      <c r="B187" s="4">
        <v>40779</v>
      </c>
      <c r="C187" s="1" t="s">
        <v>153</v>
      </c>
      <c r="D187" s="1" t="s">
        <v>147</v>
      </c>
      <c r="E187" s="1">
        <v>1</v>
      </c>
      <c r="F187" s="1" t="s">
        <v>145</v>
      </c>
      <c r="G187" s="1">
        <v>108</v>
      </c>
      <c r="H187" s="1">
        <v>11.25</v>
      </c>
      <c r="J187" s="1" t="s">
        <v>155</v>
      </c>
    </row>
    <row r="188" spans="1:10">
      <c r="A188" s="1" t="s">
        <v>109</v>
      </c>
      <c r="B188" s="4">
        <v>40779</v>
      </c>
      <c r="C188" s="1" t="s">
        <v>153</v>
      </c>
      <c r="D188" s="1" t="s">
        <v>147</v>
      </c>
      <c r="E188" s="1">
        <v>1</v>
      </c>
      <c r="F188" s="1" t="s">
        <v>145</v>
      </c>
      <c r="G188" s="1">
        <v>79</v>
      </c>
      <c r="H188" s="1">
        <v>6.25</v>
      </c>
    </row>
    <row r="189" spans="1:10">
      <c r="A189" s="1" t="s">
        <v>109</v>
      </c>
      <c r="B189" s="4">
        <v>40779</v>
      </c>
      <c r="C189" s="1" t="s">
        <v>153</v>
      </c>
      <c r="D189" s="1" t="s">
        <v>147</v>
      </c>
      <c r="E189" s="1">
        <v>1</v>
      </c>
      <c r="F189" s="1" t="s">
        <v>145</v>
      </c>
      <c r="G189" s="1">
        <v>82</v>
      </c>
      <c r="H189" s="1">
        <v>6</v>
      </c>
    </row>
    <row r="190" spans="1:10">
      <c r="A190" s="1" t="s">
        <v>109</v>
      </c>
      <c r="B190" s="4">
        <v>40779</v>
      </c>
      <c r="C190" s="1" t="s">
        <v>153</v>
      </c>
      <c r="D190" s="1" t="s">
        <v>147</v>
      </c>
      <c r="E190" s="1">
        <v>1</v>
      </c>
      <c r="F190" s="1" t="s">
        <v>145</v>
      </c>
      <c r="G190" s="1">
        <v>81</v>
      </c>
      <c r="H190" s="1">
        <v>4.75</v>
      </c>
    </row>
    <row r="191" spans="1:10">
      <c r="A191" s="1" t="s">
        <v>109</v>
      </c>
      <c r="B191" s="4">
        <v>40779</v>
      </c>
      <c r="C191" s="1" t="s">
        <v>153</v>
      </c>
      <c r="D191" s="1" t="s">
        <v>147</v>
      </c>
      <c r="E191" s="1">
        <v>1</v>
      </c>
      <c r="F191" s="1" t="s">
        <v>145</v>
      </c>
      <c r="G191" s="1">
        <v>62</v>
      </c>
      <c r="H191" s="1">
        <v>2.5</v>
      </c>
    </row>
    <row r="192" spans="1:10">
      <c r="A192" s="1" t="s">
        <v>109</v>
      </c>
      <c r="B192" s="4">
        <v>40779</v>
      </c>
      <c r="C192" s="1" t="s">
        <v>153</v>
      </c>
      <c r="D192" s="1" t="s">
        <v>147</v>
      </c>
      <c r="E192" s="1">
        <v>1</v>
      </c>
      <c r="F192" s="1" t="s">
        <v>145</v>
      </c>
      <c r="G192" s="1">
        <v>57</v>
      </c>
      <c r="H192" s="1">
        <v>2</v>
      </c>
    </row>
    <row r="193" spans="1:8">
      <c r="A193" s="1" t="s">
        <v>109</v>
      </c>
      <c r="B193" s="4">
        <v>40779</v>
      </c>
      <c r="C193" s="1" t="s">
        <v>153</v>
      </c>
      <c r="D193" s="1" t="s">
        <v>147</v>
      </c>
      <c r="E193" s="1">
        <v>1</v>
      </c>
      <c r="F193" s="1" t="s">
        <v>145</v>
      </c>
      <c r="G193" s="1">
        <v>54</v>
      </c>
      <c r="H193" s="1">
        <v>1.5</v>
      </c>
    </row>
    <row r="194" spans="1:8">
      <c r="A194" s="1" t="s">
        <v>109</v>
      </c>
      <c r="B194" s="4">
        <v>40779</v>
      </c>
      <c r="C194" s="1" t="s">
        <v>153</v>
      </c>
      <c r="D194" s="1" t="s">
        <v>147</v>
      </c>
      <c r="E194" s="1">
        <v>1</v>
      </c>
      <c r="F194" s="1" t="s">
        <v>145</v>
      </c>
      <c r="G194" s="1">
        <v>57</v>
      </c>
      <c r="H194" s="1">
        <v>1.25</v>
      </c>
    </row>
    <row r="195" spans="1:8">
      <c r="A195" s="1" t="s">
        <v>109</v>
      </c>
      <c r="B195" s="4">
        <v>40779</v>
      </c>
      <c r="C195" s="1" t="s">
        <v>153</v>
      </c>
      <c r="D195" s="1" t="s">
        <v>147</v>
      </c>
      <c r="E195" s="1">
        <v>2</v>
      </c>
      <c r="F195" s="1" t="s">
        <v>145</v>
      </c>
      <c r="G195" s="1">
        <v>129</v>
      </c>
      <c r="H195" s="1">
        <v>19.25</v>
      </c>
    </row>
    <row r="196" spans="1:8">
      <c r="A196" s="1" t="s">
        <v>109</v>
      </c>
      <c r="B196" s="4">
        <v>40779</v>
      </c>
      <c r="C196" s="1" t="s">
        <v>153</v>
      </c>
      <c r="D196" s="1" t="s">
        <v>147</v>
      </c>
      <c r="E196" s="1">
        <v>2</v>
      </c>
      <c r="F196" s="1" t="s">
        <v>145</v>
      </c>
      <c r="G196" s="1">
        <v>68</v>
      </c>
      <c r="H196" s="1">
        <v>4</v>
      </c>
    </row>
    <row r="197" spans="1:8">
      <c r="A197" s="1" t="s">
        <v>109</v>
      </c>
      <c r="B197" s="4">
        <v>40779</v>
      </c>
      <c r="C197" s="1" t="s">
        <v>153</v>
      </c>
      <c r="D197" s="1" t="s">
        <v>147</v>
      </c>
      <c r="E197" s="1">
        <v>2</v>
      </c>
      <c r="F197" s="1" t="s">
        <v>145</v>
      </c>
      <c r="G197" s="1">
        <v>62</v>
      </c>
      <c r="H197" s="1">
        <v>2.25</v>
      </c>
    </row>
    <row r="198" spans="1:8">
      <c r="A198" s="1" t="s">
        <v>109</v>
      </c>
      <c r="B198" s="4">
        <v>40779</v>
      </c>
      <c r="C198" s="1" t="s">
        <v>153</v>
      </c>
      <c r="D198" s="1" t="s">
        <v>150</v>
      </c>
      <c r="E198" s="1">
        <v>1</v>
      </c>
      <c r="F198" s="1" t="s">
        <v>145</v>
      </c>
      <c r="G198" s="1">
        <v>62</v>
      </c>
      <c r="H198" s="1">
        <v>1.75</v>
      </c>
    </row>
    <row r="199" spans="1:8">
      <c r="A199" s="1" t="s">
        <v>109</v>
      </c>
      <c r="B199" s="4">
        <v>40779</v>
      </c>
      <c r="C199" s="1" t="s">
        <v>153</v>
      </c>
      <c r="D199" s="1" t="s">
        <v>150</v>
      </c>
      <c r="E199" s="1">
        <v>1</v>
      </c>
      <c r="F199" s="1" t="s">
        <v>145</v>
      </c>
      <c r="G199" s="1">
        <v>78</v>
      </c>
      <c r="H199" s="1">
        <v>4.8</v>
      </c>
    </row>
    <row r="200" spans="1:8">
      <c r="A200" s="1" t="s">
        <v>109</v>
      </c>
      <c r="B200" s="4">
        <v>40779</v>
      </c>
      <c r="C200" s="1" t="s">
        <v>153</v>
      </c>
      <c r="D200" s="1" t="s">
        <v>150</v>
      </c>
      <c r="E200" s="1">
        <v>1</v>
      </c>
      <c r="F200" s="1" t="s">
        <v>145</v>
      </c>
      <c r="G200" s="1">
        <v>57</v>
      </c>
      <c r="H200" s="1">
        <v>1.6</v>
      </c>
    </row>
    <row r="201" spans="1:8">
      <c r="A201" s="1" t="s">
        <v>109</v>
      </c>
      <c r="B201" s="4">
        <v>40779</v>
      </c>
      <c r="C201" s="1" t="s">
        <v>153</v>
      </c>
      <c r="D201" s="1" t="s">
        <v>150</v>
      </c>
      <c r="E201" s="1">
        <v>1</v>
      </c>
      <c r="F201" s="1" t="s">
        <v>145</v>
      </c>
      <c r="G201" s="1">
        <v>68</v>
      </c>
      <c r="H201" s="1">
        <v>3.4</v>
      </c>
    </row>
    <row r="202" spans="1:8">
      <c r="A202" s="1" t="s">
        <v>109</v>
      </c>
      <c r="B202" s="4">
        <v>40779</v>
      </c>
      <c r="C202" s="1" t="s">
        <v>153</v>
      </c>
      <c r="D202" s="1" t="s">
        <v>150</v>
      </c>
      <c r="E202" s="1">
        <v>1</v>
      </c>
      <c r="F202" s="1" t="s">
        <v>145</v>
      </c>
      <c r="G202" s="1">
        <v>62</v>
      </c>
      <c r="H202" s="1">
        <v>1.8</v>
      </c>
    </row>
    <row r="203" spans="1:8">
      <c r="A203" s="1" t="s">
        <v>109</v>
      </c>
      <c r="B203" s="4">
        <v>40779</v>
      </c>
      <c r="C203" s="1" t="s">
        <v>153</v>
      </c>
      <c r="D203" s="1" t="s">
        <v>150</v>
      </c>
      <c r="E203" s="1">
        <v>1</v>
      </c>
      <c r="F203" s="1" t="s">
        <v>145</v>
      </c>
      <c r="G203" s="1">
        <v>62</v>
      </c>
      <c r="H203" s="1">
        <v>2.1</v>
      </c>
    </row>
    <row r="204" spans="1:8">
      <c r="A204" s="1" t="s">
        <v>109</v>
      </c>
      <c r="B204" s="4">
        <v>40779</v>
      </c>
      <c r="C204" s="1" t="s">
        <v>153</v>
      </c>
      <c r="D204" s="1" t="s">
        <v>150</v>
      </c>
      <c r="E204" s="1">
        <v>1</v>
      </c>
      <c r="F204" s="1" t="s">
        <v>145</v>
      </c>
      <c r="G204" s="1">
        <v>64</v>
      </c>
      <c r="H204" s="1">
        <v>2.2999999999999998</v>
      </c>
    </row>
    <row r="205" spans="1:8">
      <c r="A205" s="1" t="s">
        <v>109</v>
      </c>
      <c r="B205" s="4">
        <v>40779</v>
      </c>
      <c r="C205" s="1" t="s">
        <v>153</v>
      </c>
      <c r="D205" s="1" t="s">
        <v>150</v>
      </c>
      <c r="E205" s="1">
        <v>1</v>
      </c>
      <c r="F205" s="1" t="s">
        <v>145</v>
      </c>
      <c r="G205" s="1">
        <v>61</v>
      </c>
      <c r="H205" s="1">
        <v>1.9</v>
      </c>
    </row>
    <row r="206" spans="1:8">
      <c r="A206" s="1" t="s">
        <v>109</v>
      </c>
      <c r="B206" s="4">
        <v>40779</v>
      </c>
      <c r="C206" s="1" t="s">
        <v>153</v>
      </c>
      <c r="D206" s="1" t="s">
        <v>150</v>
      </c>
      <c r="E206" s="1">
        <v>2</v>
      </c>
      <c r="F206" s="1" t="s">
        <v>145</v>
      </c>
      <c r="G206" s="1">
        <v>83</v>
      </c>
      <c r="H206" s="1">
        <v>5.8</v>
      </c>
    </row>
    <row r="207" spans="1:8">
      <c r="A207" s="1" t="s">
        <v>109</v>
      </c>
      <c r="B207" s="4">
        <v>40779</v>
      </c>
      <c r="C207" s="1" t="s">
        <v>153</v>
      </c>
      <c r="D207" s="1" t="s">
        <v>150</v>
      </c>
      <c r="E207" s="1">
        <v>2</v>
      </c>
      <c r="F207" s="1" t="s">
        <v>145</v>
      </c>
      <c r="G207" s="1">
        <v>85</v>
      </c>
      <c r="H207" s="1">
        <v>5.4</v>
      </c>
    </row>
    <row r="208" spans="1:8">
      <c r="A208" s="1" t="s">
        <v>109</v>
      </c>
      <c r="B208" s="4">
        <v>40779</v>
      </c>
      <c r="C208" s="1" t="s">
        <v>153</v>
      </c>
      <c r="D208" s="1" t="s">
        <v>150</v>
      </c>
      <c r="E208" s="1">
        <v>2</v>
      </c>
      <c r="F208" s="1" t="s">
        <v>145</v>
      </c>
      <c r="G208" s="1">
        <v>67</v>
      </c>
      <c r="H208" s="1">
        <v>2.2999999999999998</v>
      </c>
    </row>
    <row r="209" spans="1:10">
      <c r="A209" s="1" t="s">
        <v>109</v>
      </c>
      <c r="B209" s="4">
        <v>40779</v>
      </c>
      <c r="C209" s="1" t="s">
        <v>153</v>
      </c>
      <c r="D209" s="1" t="s">
        <v>150</v>
      </c>
      <c r="E209" s="1">
        <v>2</v>
      </c>
      <c r="F209" s="1" t="s">
        <v>145</v>
      </c>
      <c r="G209" s="1">
        <v>64</v>
      </c>
      <c r="H209" s="1">
        <v>2.4</v>
      </c>
    </row>
    <row r="210" spans="1:10">
      <c r="A210" s="1" t="s">
        <v>109</v>
      </c>
      <c r="B210" s="4">
        <v>40779</v>
      </c>
      <c r="C210" s="1" t="s">
        <v>153</v>
      </c>
      <c r="D210" s="1" t="s">
        <v>150</v>
      </c>
      <c r="E210" s="1">
        <v>2</v>
      </c>
      <c r="F210" s="1" t="s">
        <v>145</v>
      </c>
      <c r="G210" s="1">
        <v>64</v>
      </c>
      <c r="H210" s="1">
        <v>2.2999999999999998</v>
      </c>
    </row>
    <row r="211" spans="1:10">
      <c r="A211" s="1" t="s">
        <v>109</v>
      </c>
      <c r="B211" s="4">
        <v>40779</v>
      </c>
      <c r="C211" s="1" t="s">
        <v>153</v>
      </c>
      <c r="D211" s="1" t="s">
        <v>150</v>
      </c>
      <c r="E211" s="1">
        <v>2</v>
      </c>
      <c r="F211" s="1" t="s">
        <v>145</v>
      </c>
      <c r="G211" s="1">
        <v>61</v>
      </c>
      <c r="H211" s="1">
        <v>1.8</v>
      </c>
    </row>
    <row r="212" spans="1:10">
      <c r="A212" s="1" t="s">
        <v>109</v>
      </c>
      <c r="B212" s="4">
        <v>40779</v>
      </c>
      <c r="C212" s="1" t="s">
        <v>153</v>
      </c>
      <c r="D212" s="1" t="s">
        <v>150</v>
      </c>
      <c r="E212" s="1">
        <v>2</v>
      </c>
      <c r="F212" s="1" t="s">
        <v>145</v>
      </c>
      <c r="G212" s="1">
        <v>72</v>
      </c>
      <c r="H212" s="1">
        <v>2.9</v>
      </c>
    </row>
    <row r="213" spans="1:10">
      <c r="A213" s="1" t="s">
        <v>93</v>
      </c>
      <c r="B213" s="4">
        <v>40767</v>
      </c>
      <c r="C213" s="1" t="s">
        <v>156</v>
      </c>
      <c r="D213" s="1" t="s">
        <v>141</v>
      </c>
      <c r="E213" s="1">
        <v>1</v>
      </c>
      <c r="F213" s="1" t="s">
        <v>145</v>
      </c>
      <c r="G213" s="1">
        <v>104</v>
      </c>
      <c r="H213" s="1">
        <v>11</v>
      </c>
      <c r="I213" s="1" t="s">
        <v>157</v>
      </c>
    </row>
    <row r="214" spans="1:10">
      <c r="A214" s="1" t="s">
        <v>93</v>
      </c>
      <c r="B214" s="4">
        <v>40767</v>
      </c>
      <c r="C214" s="1" t="s">
        <v>156</v>
      </c>
      <c r="D214" s="1" t="s">
        <v>141</v>
      </c>
      <c r="E214" s="1">
        <v>2</v>
      </c>
      <c r="F214" s="1" t="s">
        <v>145</v>
      </c>
      <c r="G214" s="1">
        <v>96</v>
      </c>
      <c r="H214" s="1">
        <v>8</v>
      </c>
      <c r="I214" s="1" t="s">
        <v>157</v>
      </c>
    </row>
    <row r="215" spans="1:10">
      <c r="A215" s="1" t="s">
        <v>93</v>
      </c>
      <c r="B215" s="4">
        <v>40767</v>
      </c>
      <c r="C215" s="1" t="s">
        <v>156</v>
      </c>
      <c r="D215" s="1" t="s">
        <v>150</v>
      </c>
      <c r="E215" s="1">
        <v>1</v>
      </c>
      <c r="F215" s="1" t="s">
        <v>145</v>
      </c>
      <c r="G215" s="1">
        <v>86</v>
      </c>
      <c r="H215" s="1">
        <v>7.5</v>
      </c>
      <c r="J215" s="1" t="s">
        <v>161</v>
      </c>
    </row>
    <row r="216" spans="1:10">
      <c r="A216" s="1" t="s">
        <v>93</v>
      </c>
      <c r="B216" s="4">
        <v>40767</v>
      </c>
      <c r="C216" s="1" t="s">
        <v>156</v>
      </c>
      <c r="D216" s="1" t="s">
        <v>150</v>
      </c>
      <c r="E216" s="1">
        <v>2</v>
      </c>
      <c r="F216" s="1" t="s">
        <v>145</v>
      </c>
      <c r="G216" s="1">
        <v>97</v>
      </c>
      <c r="H216" s="1">
        <v>11.75</v>
      </c>
    </row>
    <row r="217" spans="1:10">
      <c r="A217" s="1" t="s">
        <v>97</v>
      </c>
      <c r="B217" s="4">
        <v>40768</v>
      </c>
      <c r="C217" s="1" t="s">
        <v>158</v>
      </c>
      <c r="I217" s="1" t="s">
        <v>159</v>
      </c>
      <c r="J217" s="1" t="s">
        <v>160</v>
      </c>
    </row>
    <row r="218" spans="1:10">
      <c r="A218" s="1" t="s">
        <v>91</v>
      </c>
      <c r="B218" s="4">
        <v>40771</v>
      </c>
      <c r="C218" s="1" t="s">
        <v>162</v>
      </c>
      <c r="D218" s="1" t="s">
        <v>141</v>
      </c>
      <c r="E218" s="1">
        <v>1</v>
      </c>
      <c r="F218" s="1" t="s">
        <v>142</v>
      </c>
      <c r="G218" s="1">
        <v>41</v>
      </c>
      <c r="H218" s="1">
        <v>0.6</v>
      </c>
    </row>
    <row r="219" spans="1:10">
      <c r="A219" s="1" t="s">
        <v>91</v>
      </c>
      <c r="B219" s="4">
        <v>40771</v>
      </c>
      <c r="C219" s="1" t="s">
        <v>162</v>
      </c>
      <c r="D219" s="1" t="s">
        <v>141</v>
      </c>
      <c r="E219" s="1">
        <v>1</v>
      </c>
      <c r="F219" s="1" t="s">
        <v>142</v>
      </c>
      <c r="G219" s="1">
        <v>39</v>
      </c>
      <c r="H219" s="1">
        <v>0.5</v>
      </c>
    </row>
    <row r="220" spans="1:10">
      <c r="A220" s="1" t="s">
        <v>91</v>
      </c>
      <c r="B220" s="4">
        <v>40771</v>
      </c>
      <c r="C220" s="1" t="s">
        <v>162</v>
      </c>
      <c r="D220" s="1" t="s">
        <v>141</v>
      </c>
      <c r="E220" s="1">
        <v>1</v>
      </c>
      <c r="F220" s="1" t="s">
        <v>142</v>
      </c>
      <c r="G220" s="1">
        <v>41</v>
      </c>
      <c r="H220" s="1">
        <v>0.6</v>
      </c>
    </row>
    <row r="221" spans="1:10">
      <c r="A221" s="1" t="s">
        <v>91</v>
      </c>
      <c r="B221" s="4">
        <v>40771</v>
      </c>
      <c r="C221" s="1" t="s">
        <v>162</v>
      </c>
      <c r="D221" s="1" t="s">
        <v>141</v>
      </c>
      <c r="E221" s="1">
        <v>1</v>
      </c>
      <c r="F221" s="1" t="s">
        <v>142</v>
      </c>
      <c r="G221" s="1">
        <v>43</v>
      </c>
      <c r="H221" s="1">
        <v>0.7</v>
      </c>
    </row>
    <row r="222" spans="1:10">
      <c r="A222" s="1" t="s">
        <v>91</v>
      </c>
      <c r="B222" s="4">
        <v>40771</v>
      </c>
      <c r="C222" s="1" t="s">
        <v>162</v>
      </c>
      <c r="D222" s="1" t="s">
        <v>141</v>
      </c>
      <c r="E222" s="1">
        <v>1</v>
      </c>
      <c r="F222" s="1" t="s">
        <v>142</v>
      </c>
      <c r="G222" s="1">
        <v>39</v>
      </c>
      <c r="H222" s="1">
        <v>0.6</v>
      </c>
    </row>
    <row r="223" spans="1:10">
      <c r="A223" s="1" t="s">
        <v>91</v>
      </c>
      <c r="B223" s="4">
        <v>40771</v>
      </c>
      <c r="C223" s="1" t="s">
        <v>162</v>
      </c>
      <c r="D223" s="1" t="s">
        <v>141</v>
      </c>
      <c r="E223" s="1">
        <v>1</v>
      </c>
      <c r="F223" s="1" t="s">
        <v>142</v>
      </c>
      <c r="G223" s="1">
        <v>36</v>
      </c>
      <c r="H223" s="1">
        <v>0.4</v>
      </c>
    </row>
    <row r="224" spans="1:10">
      <c r="A224" s="1" t="s">
        <v>91</v>
      </c>
      <c r="B224" s="4">
        <v>40771</v>
      </c>
      <c r="C224" s="1" t="s">
        <v>162</v>
      </c>
      <c r="D224" s="1" t="s">
        <v>141</v>
      </c>
      <c r="E224" s="1">
        <v>1</v>
      </c>
      <c r="F224" s="1" t="s">
        <v>142</v>
      </c>
      <c r="G224" s="1">
        <v>36</v>
      </c>
      <c r="H224" s="1">
        <v>0.4</v>
      </c>
    </row>
    <row r="225" spans="1:8">
      <c r="A225" s="1" t="s">
        <v>91</v>
      </c>
      <c r="B225" s="4">
        <v>40771</v>
      </c>
      <c r="C225" s="1" t="s">
        <v>162</v>
      </c>
      <c r="D225" s="1" t="s">
        <v>141</v>
      </c>
      <c r="E225" s="1">
        <v>1</v>
      </c>
      <c r="F225" s="1" t="s">
        <v>142</v>
      </c>
      <c r="G225" s="1">
        <v>39</v>
      </c>
      <c r="H225" s="1">
        <v>0.7</v>
      </c>
    </row>
    <row r="226" spans="1:8">
      <c r="A226" s="1" t="s">
        <v>91</v>
      </c>
      <c r="B226" s="4">
        <v>40771</v>
      </c>
      <c r="C226" s="1" t="s">
        <v>162</v>
      </c>
      <c r="D226" s="1" t="s">
        <v>141</v>
      </c>
      <c r="E226" s="1">
        <v>1</v>
      </c>
      <c r="F226" s="1" t="s">
        <v>142</v>
      </c>
      <c r="G226" s="1">
        <v>41</v>
      </c>
      <c r="H226" s="1">
        <v>0.8</v>
      </c>
    </row>
    <row r="227" spans="1:8">
      <c r="A227" s="1" t="s">
        <v>91</v>
      </c>
      <c r="B227" s="4">
        <v>40771</v>
      </c>
      <c r="C227" s="1" t="s">
        <v>162</v>
      </c>
      <c r="D227" s="1" t="s">
        <v>141</v>
      </c>
      <c r="E227" s="1">
        <v>1</v>
      </c>
      <c r="F227" s="1" t="s">
        <v>142</v>
      </c>
      <c r="G227" s="1">
        <v>37</v>
      </c>
      <c r="H227" s="1">
        <v>0.4</v>
      </c>
    </row>
    <row r="228" spans="1:8">
      <c r="A228" s="1" t="s">
        <v>91</v>
      </c>
      <c r="B228" s="4">
        <v>40771</v>
      </c>
      <c r="C228" s="1" t="s">
        <v>162</v>
      </c>
      <c r="D228" s="1" t="s">
        <v>141</v>
      </c>
      <c r="E228" s="1">
        <v>1</v>
      </c>
      <c r="F228" s="1" t="s">
        <v>142</v>
      </c>
      <c r="G228" s="1">
        <v>38</v>
      </c>
      <c r="H228" s="1">
        <v>0.5</v>
      </c>
    </row>
    <row r="229" spans="1:8">
      <c r="A229" s="1" t="s">
        <v>91</v>
      </c>
      <c r="B229" s="4">
        <v>40771</v>
      </c>
      <c r="C229" s="1" t="s">
        <v>162</v>
      </c>
      <c r="D229" s="1" t="s">
        <v>141</v>
      </c>
      <c r="E229" s="1">
        <v>1</v>
      </c>
      <c r="F229" s="1" t="s">
        <v>145</v>
      </c>
      <c r="G229" s="1">
        <v>112</v>
      </c>
      <c r="H229" s="1">
        <v>12.25</v>
      </c>
    </row>
    <row r="230" spans="1:8">
      <c r="A230" s="1" t="s">
        <v>91</v>
      </c>
      <c r="B230" s="4">
        <v>40771</v>
      </c>
      <c r="C230" s="1" t="s">
        <v>162</v>
      </c>
      <c r="D230" s="1" t="s">
        <v>141</v>
      </c>
      <c r="E230" s="1">
        <v>1</v>
      </c>
      <c r="F230" s="1" t="s">
        <v>145</v>
      </c>
      <c r="G230" s="1">
        <v>94</v>
      </c>
      <c r="H230" s="1">
        <v>8.3000000000000007</v>
      </c>
    </row>
    <row r="231" spans="1:8">
      <c r="A231" s="1" t="s">
        <v>91</v>
      </c>
      <c r="B231" s="4">
        <v>40771</v>
      </c>
      <c r="C231" s="1" t="s">
        <v>162</v>
      </c>
      <c r="D231" s="1" t="s">
        <v>141</v>
      </c>
      <c r="E231" s="1">
        <v>1</v>
      </c>
      <c r="F231" s="1" t="s">
        <v>145</v>
      </c>
      <c r="G231" s="1">
        <v>42</v>
      </c>
      <c r="H231" s="1">
        <v>0.8</v>
      </c>
    </row>
    <row r="232" spans="1:8">
      <c r="A232" s="1" t="s">
        <v>91</v>
      </c>
      <c r="B232" s="4">
        <v>40771</v>
      </c>
      <c r="C232" s="1" t="s">
        <v>162</v>
      </c>
      <c r="D232" s="1" t="s">
        <v>141</v>
      </c>
      <c r="E232" s="1">
        <v>1</v>
      </c>
      <c r="F232" s="1" t="s">
        <v>145</v>
      </c>
      <c r="G232" s="1">
        <v>117</v>
      </c>
      <c r="H232" s="1">
        <v>18.5</v>
      </c>
    </row>
    <row r="233" spans="1:8">
      <c r="A233" s="1" t="s">
        <v>91</v>
      </c>
      <c r="B233" s="4">
        <v>40771</v>
      </c>
      <c r="C233" s="1" t="s">
        <v>162</v>
      </c>
      <c r="D233" s="1" t="s">
        <v>141</v>
      </c>
      <c r="E233" s="1">
        <v>1</v>
      </c>
      <c r="F233" s="1" t="s">
        <v>145</v>
      </c>
      <c r="G233" s="1">
        <v>44</v>
      </c>
      <c r="H233" s="1">
        <v>0.8</v>
      </c>
    </row>
    <row r="234" spans="1:8">
      <c r="A234" s="1" t="s">
        <v>91</v>
      </c>
      <c r="B234" s="4">
        <v>40771</v>
      </c>
      <c r="C234" s="1" t="s">
        <v>162</v>
      </c>
      <c r="D234" s="1" t="s">
        <v>141</v>
      </c>
      <c r="E234" s="1">
        <v>2</v>
      </c>
      <c r="F234" s="1" t="s">
        <v>145</v>
      </c>
      <c r="G234" s="1">
        <v>86</v>
      </c>
      <c r="H234" s="1">
        <v>8.3000000000000007</v>
      </c>
    </row>
    <row r="235" spans="1:8">
      <c r="A235" s="1" t="s">
        <v>91</v>
      </c>
      <c r="B235" s="4">
        <v>40771</v>
      </c>
      <c r="C235" s="1" t="s">
        <v>162</v>
      </c>
      <c r="D235" s="1" t="s">
        <v>141</v>
      </c>
      <c r="E235" s="1">
        <v>2</v>
      </c>
      <c r="F235" s="1" t="s">
        <v>145</v>
      </c>
      <c r="G235" s="1">
        <v>86</v>
      </c>
      <c r="H235" s="1">
        <v>8.3000000000000007</v>
      </c>
    </row>
    <row r="236" spans="1:8">
      <c r="A236" s="1" t="s">
        <v>91</v>
      </c>
      <c r="B236" s="4">
        <v>40771</v>
      </c>
      <c r="C236" s="1" t="s">
        <v>162</v>
      </c>
      <c r="D236" s="1" t="s">
        <v>141</v>
      </c>
      <c r="E236" s="1">
        <v>2</v>
      </c>
      <c r="F236" s="1" t="s">
        <v>145</v>
      </c>
      <c r="G236" s="1">
        <v>86</v>
      </c>
      <c r="H236" s="1">
        <v>8.3000000000000007</v>
      </c>
    </row>
    <row r="237" spans="1:8">
      <c r="A237" s="1" t="s">
        <v>91</v>
      </c>
      <c r="B237" s="4">
        <v>40771</v>
      </c>
      <c r="C237" s="1" t="s">
        <v>162</v>
      </c>
      <c r="D237" s="1" t="s">
        <v>141</v>
      </c>
      <c r="E237" s="1">
        <v>2</v>
      </c>
      <c r="F237" s="1" t="s">
        <v>145</v>
      </c>
      <c r="G237" s="1">
        <v>86</v>
      </c>
      <c r="H237" s="1">
        <v>8.3000000000000007</v>
      </c>
    </row>
    <row r="238" spans="1:8">
      <c r="A238" s="1" t="s">
        <v>91</v>
      </c>
      <c r="B238" s="4">
        <v>40771</v>
      </c>
      <c r="C238" s="1" t="s">
        <v>162</v>
      </c>
      <c r="D238" s="1" t="s">
        <v>141</v>
      </c>
      <c r="E238" s="1">
        <v>2</v>
      </c>
      <c r="F238" s="1" t="s">
        <v>142</v>
      </c>
      <c r="G238" s="1">
        <v>37</v>
      </c>
      <c r="H238" s="1">
        <v>0.4</v>
      </c>
    </row>
    <row r="239" spans="1:8">
      <c r="A239" s="1" t="s">
        <v>91</v>
      </c>
      <c r="B239" s="4">
        <v>40771</v>
      </c>
      <c r="C239" s="1" t="s">
        <v>162</v>
      </c>
      <c r="D239" s="1" t="s">
        <v>141</v>
      </c>
      <c r="E239" s="1">
        <v>2</v>
      </c>
      <c r="F239" s="1" t="s">
        <v>142</v>
      </c>
      <c r="G239" s="1">
        <v>40</v>
      </c>
      <c r="H239" s="1">
        <v>0.6</v>
      </c>
    </row>
    <row r="240" spans="1:8">
      <c r="A240" s="1" t="s">
        <v>91</v>
      </c>
      <c r="B240" s="4">
        <v>40771</v>
      </c>
      <c r="C240" s="1" t="s">
        <v>162</v>
      </c>
      <c r="D240" s="1" t="s">
        <v>141</v>
      </c>
      <c r="E240" s="1">
        <v>2</v>
      </c>
      <c r="F240" s="1" t="s">
        <v>142</v>
      </c>
      <c r="G240" s="1">
        <v>43</v>
      </c>
      <c r="H240" s="1">
        <v>0.7</v>
      </c>
    </row>
    <row r="241" spans="1:8">
      <c r="A241" s="1" t="s">
        <v>91</v>
      </c>
      <c r="B241" s="4">
        <v>40771</v>
      </c>
      <c r="C241" s="1" t="s">
        <v>162</v>
      </c>
      <c r="D241" s="1" t="s">
        <v>141</v>
      </c>
      <c r="E241" s="1">
        <v>2</v>
      </c>
      <c r="F241" s="1" t="s">
        <v>142</v>
      </c>
      <c r="G241" s="1">
        <v>33</v>
      </c>
      <c r="H241" s="1">
        <v>0.4</v>
      </c>
    </row>
    <row r="242" spans="1:8">
      <c r="A242" s="1" t="s">
        <v>91</v>
      </c>
      <c r="B242" s="4">
        <v>40771</v>
      </c>
      <c r="C242" s="1" t="s">
        <v>162</v>
      </c>
      <c r="D242" s="1" t="s">
        <v>141</v>
      </c>
      <c r="E242" s="1">
        <v>2</v>
      </c>
      <c r="F242" s="1" t="s">
        <v>142</v>
      </c>
      <c r="G242" s="1">
        <v>37</v>
      </c>
      <c r="H242" s="1">
        <v>0.4</v>
      </c>
    </row>
    <row r="243" spans="1:8">
      <c r="A243" s="1" t="s">
        <v>91</v>
      </c>
      <c r="B243" s="4">
        <v>40771</v>
      </c>
      <c r="C243" s="1" t="s">
        <v>162</v>
      </c>
      <c r="D243" s="1" t="s">
        <v>141</v>
      </c>
      <c r="E243" s="1">
        <v>2</v>
      </c>
      <c r="F243" s="1" t="s">
        <v>142</v>
      </c>
      <c r="G243" s="1">
        <v>43</v>
      </c>
      <c r="H243" s="1">
        <v>0.6</v>
      </c>
    </row>
    <row r="244" spans="1:8">
      <c r="A244" s="1" t="s">
        <v>91</v>
      </c>
      <c r="B244" s="4">
        <v>40771</v>
      </c>
      <c r="C244" s="1" t="s">
        <v>162</v>
      </c>
      <c r="D244" s="1" t="s">
        <v>147</v>
      </c>
      <c r="E244" s="1">
        <v>1</v>
      </c>
      <c r="F244" s="1" t="s">
        <v>145</v>
      </c>
      <c r="G244" s="1">
        <v>46</v>
      </c>
      <c r="H244" s="1">
        <v>0.9</v>
      </c>
    </row>
    <row r="245" spans="1:8">
      <c r="A245" s="1" t="s">
        <v>91</v>
      </c>
      <c r="B245" s="4">
        <v>40771</v>
      </c>
      <c r="C245" s="1" t="s">
        <v>162</v>
      </c>
      <c r="D245" s="1" t="s">
        <v>147</v>
      </c>
      <c r="E245" s="1">
        <v>1</v>
      </c>
      <c r="F245" s="1" t="s">
        <v>142</v>
      </c>
      <c r="G245" s="1">
        <v>42</v>
      </c>
      <c r="H245" s="1">
        <v>0.5</v>
      </c>
    </row>
    <row r="246" spans="1:8">
      <c r="A246" s="1" t="s">
        <v>91</v>
      </c>
      <c r="B246" s="4">
        <v>40771</v>
      </c>
      <c r="C246" s="1" t="s">
        <v>162</v>
      </c>
      <c r="D246" s="1" t="s">
        <v>147</v>
      </c>
      <c r="E246" s="1">
        <v>1</v>
      </c>
      <c r="F246" s="1" t="s">
        <v>142</v>
      </c>
      <c r="G246" s="1">
        <v>39</v>
      </c>
      <c r="H246" s="1">
        <v>0.4</v>
      </c>
    </row>
    <row r="247" spans="1:8">
      <c r="A247" s="1" t="s">
        <v>91</v>
      </c>
      <c r="B247" s="4">
        <v>40771</v>
      </c>
      <c r="C247" s="1" t="s">
        <v>162</v>
      </c>
      <c r="D247" s="1" t="s">
        <v>147</v>
      </c>
      <c r="E247" s="1">
        <v>1</v>
      </c>
      <c r="F247" s="1" t="s">
        <v>142</v>
      </c>
      <c r="G247" s="1">
        <v>38</v>
      </c>
      <c r="H247" s="1">
        <v>0.5</v>
      </c>
    </row>
    <row r="248" spans="1:8">
      <c r="A248" s="1" t="s">
        <v>91</v>
      </c>
      <c r="B248" s="4">
        <v>40771</v>
      </c>
      <c r="C248" s="1" t="s">
        <v>162</v>
      </c>
      <c r="D248" s="1" t="s">
        <v>147</v>
      </c>
      <c r="E248" s="1">
        <v>1</v>
      </c>
      <c r="F248" s="1" t="s">
        <v>142</v>
      </c>
      <c r="G248" s="1">
        <v>41</v>
      </c>
      <c r="H248" s="1">
        <v>0.4</v>
      </c>
    </row>
    <row r="249" spans="1:8">
      <c r="A249" s="1" t="s">
        <v>91</v>
      </c>
      <c r="B249" s="4">
        <v>40771</v>
      </c>
      <c r="C249" s="1" t="s">
        <v>162</v>
      </c>
      <c r="D249" s="1" t="s">
        <v>147</v>
      </c>
      <c r="E249" s="1">
        <v>1</v>
      </c>
      <c r="F249" s="1" t="s">
        <v>142</v>
      </c>
      <c r="G249" s="1">
        <v>36</v>
      </c>
      <c r="H249" s="1">
        <v>0.4</v>
      </c>
    </row>
    <row r="250" spans="1:8">
      <c r="A250" s="1" t="s">
        <v>91</v>
      </c>
      <c r="B250" s="4">
        <v>40771</v>
      </c>
      <c r="C250" s="1" t="s">
        <v>162</v>
      </c>
      <c r="D250" s="1" t="s">
        <v>147</v>
      </c>
      <c r="E250" s="1">
        <v>1</v>
      </c>
      <c r="F250" s="1" t="s">
        <v>142</v>
      </c>
      <c r="G250" s="1">
        <v>44</v>
      </c>
      <c r="H250" s="1">
        <v>0.6</v>
      </c>
    </row>
    <row r="251" spans="1:8">
      <c r="A251" s="1" t="s">
        <v>91</v>
      </c>
      <c r="B251" s="4">
        <v>40771</v>
      </c>
      <c r="C251" s="1" t="s">
        <v>162</v>
      </c>
      <c r="D251" s="1" t="s">
        <v>147</v>
      </c>
      <c r="E251" s="1">
        <v>1</v>
      </c>
      <c r="F251" s="1" t="s">
        <v>142</v>
      </c>
      <c r="G251" s="1">
        <v>36</v>
      </c>
      <c r="H251" s="1">
        <v>0.3</v>
      </c>
    </row>
    <row r="252" spans="1:8">
      <c r="A252" s="1" t="s">
        <v>91</v>
      </c>
      <c r="B252" s="4">
        <v>40771</v>
      </c>
      <c r="C252" s="1" t="s">
        <v>162</v>
      </c>
      <c r="D252" s="1" t="s">
        <v>147</v>
      </c>
      <c r="E252" s="1">
        <v>2</v>
      </c>
      <c r="F252" s="1" t="s">
        <v>142</v>
      </c>
      <c r="G252" s="1">
        <v>39</v>
      </c>
      <c r="H252" s="1">
        <v>0.4</v>
      </c>
    </row>
    <row r="253" spans="1:8">
      <c r="A253" s="1" t="s">
        <v>91</v>
      </c>
      <c r="B253" s="4">
        <v>40771</v>
      </c>
      <c r="C253" s="1" t="s">
        <v>162</v>
      </c>
      <c r="D253" s="1" t="s">
        <v>147</v>
      </c>
      <c r="E253" s="1">
        <v>2</v>
      </c>
      <c r="F253" s="1" t="s">
        <v>142</v>
      </c>
      <c r="G253" s="1">
        <v>39</v>
      </c>
      <c r="H253" s="1">
        <v>0.5</v>
      </c>
    </row>
    <row r="254" spans="1:8">
      <c r="A254" s="1" t="s">
        <v>91</v>
      </c>
      <c r="B254" s="4">
        <v>40771</v>
      </c>
      <c r="C254" s="1" t="s">
        <v>162</v>
      </c>
      <c r="D254" s="1" t="s">
        <v>147</v>
      </c>
      <c r="E254" s="1">
        <v>2</v>
      </c>
      <c r="F254" s="1" t="s">
        <v>142</v>
      </c>
      <c r="G254" s="1">
        <v>40</v>
      </c>
      <c r="H254" s="1">
        <v>0.5</v>
      </c>
    </row>
    <row r="255" spans="1:8">
      <c r="A255" s="1" t="s">
        <v>91</v>
      </c>
      <c r="B255" s="4">
        <v>40771</v>
      </c>
      <c r="C255" s="1" t="s">
        <v>162</v>
      </c>
      <c r="D255" s="1" t="s">
        <v>147</v>
      </c>
      <c r="E255" s="1">
        <v>2</v>
      </c>
      <c r="F255" s="1" t="s">
        <v>145</v>
      </c>
      <c r="G255" s="1">
        <v>96</v>
      </c>
      <c r="H255" s="1">
        <v>8.6</v>
      </c>
    </row>
    <row r="256" spans="1:8">
      <c r="A256" s="1" t="s">
        <v>91</v>
      </c>
      <c r="B256" s="4">
        <v>40771</v>
      </c>
      <c r="C256" s="1" t="s">
        <v>162</v>
      </c>
      <c r="D256" s="1" t="s">
        <v>147</v>
      </c>
      <c r="E256" s="1">
        <v>2</v>
      </c>
      <c r="F256" s="1" t="s">
        <v>145</v>
      </c>
      <c r="G256" s="1">
        <v>45</v>
      </c>
      <c r="H256" s="1">
        <v>0.6</v>
      </c>
    </row>
    <row r="257" spans="1:10">
      <c r="A257" s="1" t="s">
        <v>91</v>
      </c>
      <c r="B257" s="4">
        <v>40771</v>
      </c>
      <c r="C257" s="1" t="s">
        <v>162</v>
      </c>
      <c r="D257" s="1" t="s">
        <v>147</v>
      </c>
      <c r="E257" s="1">
        <v>2</v>
      </c>
      <c r="F257" s="1" t="s">
        <v>145</v>
      </c>
      <c r="G257" s="1">
        <v>46</v>
      </c>
      <c r="H257" s="1">
        <v>0.8</v>
      </c>
    </row>
    <row r="258" spans="1:10">
      <c r="A258" s="1" t="s">
        <v>91</v>
      </c>
      <c r="B258" s="4">
        <v>40771</v>
      </c>
      <c r="C258" s="1" t="s">
        <v>162</v>
      </c>
      <c r="D258" s="1" t="s">
        <v>147</v>
      </c>
      <c r="E258" s="1">
        <v>2</v>
      </c>
      <c r="F258" s="1" t="s">
        <v>145</v>
      </c>
      <c r="G258" s="1">
        <v>39</v>
      </c>
      <c r="H258" s="1">
        <v>0.5</v>
      </c>
    </row>
    <row r="259" spans="1:10">
      <c r="A259" s="1" t="s">
        <v>91</v>
      </c>
      <c r="B259" s="4">
        <v>40771</v>
      </c>
      <c r="C259" s="1" t="s">
        <v>162</v>
      </c>
      <c r="D259" s="1" t="s">
        <v>147</v>
      </c>
      <c r="E259" s="1">
        <v>2</v>
      </c>
      <c r="F259" s="1" t="s">
        <v>145</v>
      </c>
      <c r="G259" s="1">
        <v>40</v>
      </c>
      <c r="H259" s="1">
        <v>0.6</v>
      </c>
    </row>
    <row r="260" spans="1:10">
      <c r="A260" s="1" t="s">
        <v>91</v>
      </c>
      <c r="B260" s="4">
        <v>40771</v>
      </c>
      <c r="C260" s="1" t="s">
        <v>162</v>
      </c>
      <c r="D260" s="1" t="s">
        <v>150</v>
      </c>
      <c r="E260" s="1">
        <v>1</v>
      </c>
      <c r="F260" s="1" t="s">
        <v>145</v>
      </c>
      <c r="G260" s="1">
        <v>45</v>
      </c>
      <c r="H260" s="1">
        <v>0.8</v>
      </c>
    </row>
    <row r="261" spans="1:10">
      <c r="A261" s="1" t="s">
        <v>91</v>
      </c>
      <c r="B261" s="4">
        <v>40771</v>
      </c>
      <c r="C261" s="1" t="s">
        <v>162</v>
      </c>
      <c r="D261" s="1" t="s">
        <v>150</v>
      </c>
      <c r="E261" s="1">
        <v>1</v>
      </c>
      <c r="F261" s="1" t="s">
        <v>142</v>
      </c>
      <c r="G261" s="1">
        <v>39</v>
      </c>
      <c r="H261" s="1">
        <v>0.6</v>
      </c>
    </row>
    <row r="262" spans="1:10">
      <c r="A262" s="1" t="s">
        <v>91</v>
      </c>
      <c r="B262" s="4">
        <v>40771</v>
      </c>
      <c r="C262" s="1" t="s">
        <v>162</v>
      </c>
      <c r="D262" s="1" t="s">
        <v>150</v>
      </c>
      <c r="E262" s="1">
        <v>1</v>
      </c>
      <c r="F262" s="1" t="s">
        <v>142</v>
      </c>
      <c r="G262" s="1">
        <v>39</v>
      </c>
      <c r="H262" s="1">
        <v>0.7</v>
      </c>
    </row>
    <row r="263" spans="1:10">
      <c r="A263" s="1" t="s">
        <v>91</v>
      </c>
      <c r="B263" s="4">
        <v>40771</v>
      </c>
      <c r="C263" s="1" t="s">
        <v>162</v>
      </c>
      <c r="D263" s="1" t="s">
        <v>150</v>
      </c>
      <c r="E263" s="1">
        <v>2</v>
      </c>
      <c r="F263" s="1" t="s">
        <v>142</v>
      </c>
      <c r="G263" s="1">
        <v>41</v>
      </c>
      <c r="H263" s="1">
        <v>0.7</v>
      </c>
    </row>
    <row r="264" spans="1:10">
      <c r="A264" s="1" t="s">
        <v>91</v>
      </c>
      <c r="B264" s="4">
        <v>40771</v>
      </c>
      <c r="C264" s="1" t="s">
        <v>162</v>
      </c>
      <c r="D264" s="1" t="s">
        <v>150</v>
      </c>
      <c r="E264" s="1">
        <v>2</v>
      </c>
      <c r="F264" s="1" t="s">
        <v>142</v>
      </c>
      <c r="G264" s="1">
        <v>38</v>
      </c>
      <c r="H264" s="1">
        <v>0.4</v>
      </c>
    </row>
    <row r="265" spans="1:10">
      <c r="A265" s="1" t="s">
        <v>91</v>
      </c>
      <c r="B265" s="4">
        <v>40771</v>
      </c>
      <c r="C265" s="1" t="s">
        <v>162</v>
      </c>
      <c r="D265" s="1" t="s">
        <v>150</v>
      </c>
      <c r="E265" s="1">
        <v>2</v>
      </c>
      <c r="F265" s="1" t="s">
        <v>145</v>
      </c>
      <c r="G265" s="1">
        <v>41</v>
      </c>
      <c r="H265" s="1">
        <v>0.6</v>
      </c>
    </row>
    <row r="266" spans="1:10">
      <c r="A266" s="1" t="s">
        <v>91</v>
      </c>
      <c r="B266" s="4">
        <v>40771</v>
      </c>
      <c r="C266" s="1" t="s">
        <v>162</v>
      </c>
      <c r="D266" s="1" t="s">
        <v>150</v>
      </c>
      <c r="E266" s="1">
        <v>2</v>
      </c>
      <c r="F266" s="1" t="s">
        <v>145</v>
      </c>
      <c r="G266" s="1">
        <v>42</v>
      </c>
      <c r="H266" s="1">
        <v>0.8</v>
      </c>
    </row>
    <row r="267" spans="1:10">
      <c r="A267" s="1" t="s">
        <v>91</v>
      </c>
      <c r="B267" s="4">
        <v>40771</v>
      </c>
      <c r="C267" s="1" t="s">
        <v>162</v>
      </c>
      <c r="D267" s="1" t="s">
        <v>150</v>
      </c>
      <c r="E267" s="1">
        <v>2</v>
      </c>
      <c r="F267" s="1" t="s">
        <v>145</v>
      </c>
      <c r="G267" s="1">
        <v>37</v>
      </c>
      <c r="H267" s="1">
        <v>0.4</v>
      </c>
    </row>
    <row r="268" spans="1:10">
      <c r="A268" s="1" t="s">
        <v>91</v>
      </c>
      <c r="B268" s="4">
        <v>40771</v>
      </c>
      <c r="C268" s="1" t="s">
        <v>162</v>
      </c>
      <c r="D268" s="1" t="s">
        <v>150</v>
      </c>
      <c r="E268" s="1">
        <v>2</v>
      </c>
      <c r="F268" s="1" t="s">
        <v>145</v>
      </c>
      <c r="G268" s="1">
        <v>72</v>
      </c>
      <c r="H268" s="1">
        <v>3.1</v>
      </c>
    </row>
    <row r="269" spans="1:10">
      <c r="A269" s="1" t="s">
        <v>92</v>
      </c>
      <c r="B269" s="4">
        <v>40764</v>
      </c>
      <c r="C269" s="1" t="s">
        <v>163</v>
      </c>
      <c r="D269" s="1" t="s">
        <v>141</v>
      </c>
      <c r="E269" s="1">
        <v>1</v>
      </c>
      <c r="F269" s="1" t="s">
        <v>145</v>
      </c>
      <c r="G269" s="1">
        <v>110</v>
      </c>
      <c r="H269" s="1">
        <v>17</v>
      </c>
    </row>
    <row r="270" spans="1:10">
      <c r="A270" s="1" t="s">
        <v>92</v>
      </c>
      <c r="B270" s="4">
        <v>40764</v>
      </c>
      <c r="C270" s="1" t="s">
        <v>163</v>
      </c>
      <c r="D270" s="1" t="s">
        <v>147</v>
      </c>
      <c r="E270" s="1">
        <v>1</v>
      </c>
      <c r="F270" s="1" t="s">
        <v>145</v>
      </c>
      <c r="G270" s="1">
        <v>124</v>
      </c>
      <c r="H270" s="1">
        <v>21</v>
      </c>
    </row>
    <row r="271" spans="1:10">
      <c r="A271" s="1" t="s">
        <v>92</v>
      </c>
      <c r="B271" s="4">
        <v>40764</v>
      </c>
      <c r="C271" s="1" t="s">
        <v>163</v>
      </c>
      <c r="D271" s="1" t="s">
        <v>147</v>
      </c>
      <c r="E271" s="1">
        <v>1</v>
      </c>
      <c r="F271" s="1" t="s">
        <v>145</v>
      </c>
      <c r="G271" s="1">
        <v>139</v>
      </c>
    </row>
    <row r="272" spans="1:10">
      <c r="A272" s="1" t="s">
        <v>92</v>
      </c>
      <c r="B272" s="4">
        <v>40764</v>
      </c>
      <c r="C272" s="1" t="s">
        <v>163</v>
      </c>
      <c r="D272" s="1" t="s">
        <v>141</v>
      </c>
      <c r="E272" s="1">
        <v>2</v>
      </c>
      <c r="F272" s="1" t="s">
        <v>145</v>
      </c>
      <c r="G272" s="1">
        <v>124</v>
      </c>
      <c r="H272" s="1">
        <v>25</v>
      </c>
      <c r="J272" s="1" t="s">
        <v>165</v>
      </c>
    </row>
    <row r="273" spans="1:10">
      <c r="A273" s="1" t="s">
        <v>92</v>
      </c>
      <c r="B273" s="4">
        <v>40764</v>
      </c>
      <c r="C273" s="1" t="s">
        <v>163</v>
      </c>
      <c r="D273" s="1" t="s">
        <v>150</v>
      </c>
      <c r="E273" s="1">
        <v>1</v>
      </c>
      <c r="F273" s="1" t="s">
        <v>145</v>
      </c>
      <c r="G273" s="1">
        <v>80</v>
      </c>
      <c r="H273" s="1">
        <v>5.0999999999999996</v>
      </c>
    </row>
    <row r="274" spans="1:10">
      <c r="A274" s="1" t="s">
        <v>108</v>
      </c>
      <c r="B274" s="4">
        <v>40756</v>
      </c>
      <c r="C274" s="1" t="s">
        <v>164</v>
      </c>
      <c r="D274" s="1" t="s">
        <v>150</v>
      </c>
      <c r="E274" s="1">
        <v>1</v>
      </c>
      <c r="F274" s="1" t="s">
        <v>142</v>
      </c>
      <c r="G274" s="1">
        <v>99</v>
      </c>
      <c r="H274" s="1">
        <v>10</v>
      </c>
    </row>
    <row r="275" spans="1:10">
      <c r="A275" s="1" t="s">
        <v>108</v>
      </c>
      <c r="B275" s="4">
        <v>40756</v>
      </c>
      <c r="C275" s="1" t="s">
        <v>164</v>
      </c>
      <c r="D275" s="1" t="s">
        <v>150</v>
      </c>
      <c r="E275" s="1">
        <v>1</v>
      </c>
      <c r="F275" s="1" t="s">
        <v>142</v>
      </c>
      <c r="G275" s="1">
        <v>76</v>
      </c>
      <c r="H275" s="1">
        <v>4</v>
      </c>
    </row>
    <row r="276" spans="1:10">
      <c r="A276" s="1" t="s">
        <v>108</v>
      </c>
      <c r="B276" s="4">
        <v>40756</v>
      </c>
      <c r="C276" s="1" t="s">
        <v>164</v>
      </c>
      <c r="D276" s="1" t="s">
        <v>150</v>
      </c>
      <c r="E276" s="1">
        <v>1</v>
      </c>
      <c r="F276" s="1" t="s">
        <v>142</v>
      </c>
      <c r="G276" s="1">
        <v>80</v>
      </c>
      <c r="H276" s="1">
        <v>6</v>
      </c>
    </row>
    <row r="277" spans="1:10">
      <c r="A277" s="1" t="s">
        <v>108</v>
      </c>
      <c r="B277" s="4">
        <v>40756</v>
      </c>
      <c r="C277" s="1" t="s">
        <v>164</v>
      </c>
      <c r="D277" s="1" t="s">
        <v>150</v>
      </c>
      <c r="E277" s="1">
        <v>1</v>
      </c>
      <c r="F277" s="1" t="s">
        <v>142</v>
      </c>
      <c r="G277" s="1">
        <v>77</v>
      </c>
      <c r="H277" s="1">
        <v>4</v>
      </c>
      <c r="J277" s="1" t="s">
        <v>166</v>
      </c>
    </row>
    <row r="278" spans="1:10">
      <c r="A278" s="1" t="s">
        <v>108</v>
      </c>
      <c r="B278" s="4">
        <v>40756</v>
      </c>
      <c r="C278" s="1" t="s">
        <v>164</v>
      </c>
      <c r="D278" s="1" t="s">
        <v>147</v>
      </c>
      <c r="E278" s="1">
        <v>1</v>
      </c>
      <c r="F278" s="1" t="s">
        <v>142</v>
      </c>
      <c r="G278" s="1">
        <v>91</v>
      </c>
      <c r="H278" s="1">
        <v>8</v>
      </c>
    </row>
    <row r="279" spans="1:10">
      <c r="A279" s="1" t="s">
        <v>108</v>
      </c>
      <c r="B279" s="4">
        <v>40756</v>
      </c>
      <c r="C279" s="1" t="s">
        <v>164</v>
      </c>
      <c r="D279" s="1" t="s">
        <v>147</v>
      </c>
      <c r="E279" s="1">
        <v>1</v>
      </c>
      <c r="F279" s="1" t="s">
        <v>142</v>
      </c>
      <c r="G279" s="1">
        <v>81</v>
      </c>
      <c r="H279" s="1">
        <v>5</v>
      </c>
    </row>
    <row r="280" spans="1:10">
      <c r="A280" s="1" t="s">
        <v>108</v>
      </c>
      <c r="B280" s="4">
        <v>40756</v>
      </c>
      <c r="C280" s="1" t="s">
        <v>164</v>
      </c>
      <c r="D280" s="1" t="s">
        <v>147</v>
      </c>
      <c r="E280" s="1">
        <v>1</v>
      </c>
      <c r="F280" s="1" t="s">
        <v>142</v>
      </c>
      <c r="G280" s="1">
        <v>109</v>
      </c>
      <c r="H280" s="1">
        <v>12</v>
      </c>
    </row>
    <row r="281" spans="1:10">
      <c r="A281" s="1" t="s">
        <v>108</v>
      </c>
      <c r="B281" s="4">
        <v>40756</v>
      </c>
      <c r="C281" s="1" t="s">
        <v>164</v>
      </c>
      <c r="D281" s="1" t="s">
        <v>147</v>
      </c>
      <c r="E281" s="1">
        <v>1</v>
      </c>
      <c r="F281" s="1" t="s">
        <v>142</v>
      </c>
      <c r="G281" s="1">
        <v>89</v>
      </c>
      <c r="H281" s="1">
        <v>7.5</v>
      </c>
    </row>
    <row r="282" spans="1:10">
      <c r="A282" s="1" t="s">
        <v>108</v>
      </c>
      <c r="B282" s="4">
        <v>40756</v>
      </c>
      <c r="C282" s="1" t="s">
        <v>164</v>
      </c>
      <c r="D282" s="1" t="s">
        <v>147</v>
      </c>
      <c r="E282" s="1">
        <v>1</v>
      </c>
      <c r="F282" s="1" t="s">
        <v>142</v>
      </c>
      <c r="G282" s="1">
        <v>67</v>
      </c>
      <c r="H282" s="1">
        <v>7</v>
      </c>
    </row>
    <row r="283" spans="1:10">
      <c r="A283" s="1" t="s">
        <v>108</v>
      </c>
      <c r="B283" s="4">
        <v>40756</v>
      </c>
      <c r="C283" s="1" t="s">
        <v>164</v>
      </c>
      <c r="D283" s="1" t="s">
        <v>147</v>
      </c>
      <c r="E283" s="1">
        <v>1</v>
      </c>
      <c r="F283" s="1" t="s">
        <v>142</v>
      </c>
      <c r="G283" s="1">
        <v>89</v>
      </c>
      <c r="H283" s="1">
        <v>8.5</v>
      </c>
    </row>
    <row r="284" spans="1:10">
      <c r="A284" s="1" t="s">
        <v>108</v>
      </c>
      <c r="B284" s="4">
        <v>40756</v>
      </c>
      <c r="C284" s="1" t="s">
        <v>164</v>
      </c>
      <c r="D284" s="1" t="s">
        <v>147</v>
      </c>
      <c r="E284" s="1">
        <v>1</v>
      </c>
      <c r="F284" s="1" t="s">
        <v>142</v>
      </c>
      <c r="G284" s="1">
        <v>85</v>
      </c>
      <c r="H284" s="1">
        <v>7</v>
      </c>
    </row>
    <row r="285" spans="1:10">
      <c r="A285" s="1" t="s">
        <v>108</v>
      </c>
      <c r="B285" s="4">
        <v>40756</v>
      </c>
      <c r="C285" s="1" t="s">
        <v>164</v>
      </c>
      <c r="D285" s="1" t="s">
        <v>147</v>
      </c>
      <c r="E285" s="1">
        <v>1</v>
      </c>
      <c r="F285" s="1" t="s">
        <v>142</v>
      </c>
      <c r="G285" s="1">
        <v>106</v>
      </c>
      <c r="H285" s="1">
        <v>13</v>
      </c>
    </row>
    <row r="286" spans="1:10">
      <c r="A286" s="1" t="s">
        <v>108</v>
      </c>
      <c r="B286" s="4">
        <v>40756</v>
      </c>
      <c r="C286" s="1" t="s">
        <v>164</v>
      </c>
      <c r="D286" s="1" t="s">
        <v>147</v>
      </c>
      <c r="E286" s="1">
        <v>1</v>
      </c>
      <c r="F286" s="1" t="s">
        <v>145</v>
      </c>
      <c r="G286" s="1">
        <v>103</v>
      </c>
      <c r="H286" s="1">
        <v>12</v>
      </c>
    </row>
    <row r="287" spans="1:10">
      <c r="A287" s="1" t="s">
        <v>108</v>
      </c>
      <c r="B287" s="4">
        <v>40756</v>
      </c>
      <c r="C287" s="1" t="s">
        <v>164</v>
      </c>
      <c r="D287" s="1" t="s">
        <v>147</v>
      </c>
      <c r="E287" s="1">
        <v>1</v>
      </c>
      <c r="F287" s="1" t="s">
        <v>145</v>
      </c>
      <c r="G287" s="1">
        <v>89</v>
      </c>
      <c r="H287" s="1">
        <v>8</v>
      </c>
    </row>
    <row r="288" spans="1:10">
      <c r="A288" s="1" t="s">
        <v>108</v>
      </c>
      <c r="B288" s="4">
        <v>40756</v>
      </c>
      <c r="C288" s="1" t="s">
        <v>164</v>
      </c>
      <c r="D288" s="1" t="s">
        <v>147</v>
      </c>
      <c r="E288" s="1">
        <v>1</v>
      </c>
      <c r="F288" s="1" t="s">
        <v>145</v>
      </c>
      <c r="G288" s="1">
        <v>95</v>
      </c>
      <c r="H288" s="1">
        <v>8</v>
      </c>
    </row>
    <row r="289" spans="1:8">
      <c r="A289" s="1" t="s">
        <v>108</v>
      </c>
      <c r="B289" s="4">
        <v>40756</v>
      </c>
      <c r="C289" s="1" t="s">
        <v>164</v>
      </c>
      <c r="D289" s="1" t="s">
        <v>147</v>
      </c>
      <c r="E289" s="1">
        <v>1</v>
      </c>
      <c r="F289" s="1" t="s">
        <v>145</v>
      </c>
      <c r="G289" s="1">
        <v>132</v>
      </c>
      <c r="H289" s="1">
        <v>18</v>
      </c>
    </row>
    <row r="290" spans="1:8">
      <c r="A290" s="1" t="s">
        <v>108</v>
      </c>
      <c r="B290" s="4">
        <v>40756</v>
      </c>
      <c r="C290" s="1" t="s">
        <v>164</v>
      </c>
      <c r="D290" s="1" t="s">
        <v>147</v>
      </c>
      <c r="E290" s="1">
        <v>1</v>
      </c>
      <c r="F290" s="1" t="s">
        <v>145</v>
      </c>
      <c r="G290" s="1">
        <v>117</v>
      </c>
      <c r="H290" s="1">
        <v>14</v>
      </c>
    </row>
    <row r="291" spans="1:8">
      <c r="A291" s="1" t="s">
        <v>108</v>
      </c>
      <c r="B291" s="4">
        <v>40756</v>
      </c>
      <c r="C291" s="1" t="s">
        <v>164</v>
      </c>
      <c r="D291" s="1" t="s">
        <v>147</v>
      </c>
      <c r="E291" s="1">
        <v>1</v>
      </c>
      <c r="F291" s="1" t="s">
        <v>145</v>
      </c>
      <c r="G291" s="1">
        <v>95</v>
      </c>
      <c r="H291" s="1">
        <v>9</v>
      </c>
    </row>
    <row r="292" spans="1:8">
      <c r="A292" s="1" t="s">
        <v>108</v>
      </c>
      <c r="B292" s="4">
        <v>40756</v>
      </c>
      <c r="C292" s="1" t="s">
        <v>164</v>
      </c>
      <c r="D292" s="1" t="s">
        <v>147</v>
      </c>
      <c r="E292" s="1">
        <v>1</v>
      </c>
      <c r="F292" s="1" t="s">
        <v>145</v>
      </c>
      <c r="G292" s="1">
        <v>114</v>
      </c>
      <c r="H292" s="1">
        <v>15</v>
      </c>
    </row>
    <row r="293" spans="1:8">
      <c r="A293" s="1" t="s">
        <v>108</v>
      </c>
      <c r="B293" s="4">
        <v>40756</v>
      </c>
      <c r="C293" s="1" t="s">
        <v>164</v>
      </c>
      <c r="D293" s="1" t="s">
        <v>147</v>
      </c>
      <c r="E293" s="1">
        <v>1</v>
      </c>
      <c r="F293" s="1" t="s">
        <v>145</v>
      </c>
      <c r="G293" s="1">
        <v>113</v>
      </c>
      <c r="H293" s="1">
        <v>12</v>
      </c>
    </row>
    <row r="294" spans="1:8">
      <c r="A294" s="1" t="s">
        <v>108</v>
      </c>
      <c r="B294" s="4">
        <v>40756</v>
      </c>
      <c r="C294" s="1" t="s">
        <v>164</v>
      </c>
      <c r="D294" s="1" t="s">
        <v>147</v>
      </c>
      <c r="E294" s="1">
        <v>1</v>
      </c>
      <c r="F294" s="1" t="s">
        <v>145</v>
      </c>
      <c r="G294" s="1">
        <v>89</v>
      </c>
      <c r="H294" s="1">
        <v>7</v>
      </c>
    </row>
    <row r="295" spans="1:8">
      <c r="A295" s="1" t="s">
        <v>108</v>
      </c>
      <c r="B295" s="4">
        <v>40756</v>
      </c>
      <c r="C295" s="1" t="s">
        <v>164</v>
      </c>
      <c r="D295" s="1" t="s">
        <v>147</v>
      </c>
      <c r="E295" s="1">
        <v>2</v>
      </c>
      <c r="F295" s="1" t="s">
        <v>142</v>
      </c>
      <c r="G295" s="1">
        <v>105</v>
      </c>
      <c r="H295" s="1">
        <v>11</v>
      </c>
    </row>
    <row r="296" spans="1:8">
      <c r="A296" s="1" t="s">
        <v>108</v>
      </c>
      <c r="B296" s="4">
        <v>40756</v>
      </c>
      <c r="C296" s="1" t="s">
        <v>164</v>
      </c>
      <c r="D296" s="1" t="s">
        <v>147</v>
      </c>
      <c r="E296" s="1">
        <v>2</v>
      </c>
      <c r="F296" s="1" t="s">
        <v>142</v>
      </c>
      <c r="G296" s="1">
        <v>94</v>
      </c>
      <c r="H296" s="1">
        <v>9</v>
      </c>
    </row>
    <row r="297" spans="1:8">
      <c r="A297" s="1" t="s">
        <v>108</v>
      </c>
      <c r="B297" s="4">
        <v>40756</v>
      </c>
      <c r="C297" s="1" t="s">
        <v>164</v>
      </c>
      <c r="D297" s="1" t="s">
        <v>147</v>
      </c>
      <c r="E297" s="1">
        <v>2</v>
      </c>
      <c r="F297" s="1" t="s">
        <v>142</v>
      </c>
      <c r="G297" s="1">
        <v>82</v>
      </c>
      <c r="H297" s="1">
        <v>5</v>
      </c>
    </row>
    <row r="298" spans="1:8">
      <c r="A298" s="1" t="s">
        <v>108</v>
      </c>
      <c r="B298" s="4">
        <v>40756</v>
      </c>
      <c r="C298" s="1" t="s">
        <v>164</v>
      </c>
      <c r="D298" s="1" t="s">
        <v>147</v>
      </c>
      <c r="E298" s="1">
        <v>2</v>
      </c>
      <c r="F298" s="1" t="s">
        <v>142</v>
      </c>
      <c r="G298" s="1">
        <v>77</v>
      </c>
      <c r="H298" s="1">
        <v>6</v>
      </c>
    </row>
    <row r="299" spans="1:8">
      <c r="A299" s="1" t="s">
        <v>108</v>
      </c>
      <c r="B299" s="4">
        <v>40756</v>
      </c>
      <c r="C299" s="1" t="s">
        <v>164</v>
      </c>
      <c r="D299" s="1" t="s">
        <v>147</v>
      </c>
      <c r="E299" s="1">
        <v>2</v>
      </c>
      <c r="F299" s="1" t="s">
        <v>145</v>
      </c>
      <c r="G299" s="1">
        <v>94</v>
      </c>
      <c r="H299" s="1">
        <v>8</v>
      </c>
    </row>
    <row r="300" spans="1:8">
      <c r="A300" s="1" t="s">
        <v>108</v>
      </c>
      <c r="B300" s="4">
        <v>40756</v>
      </c>
      <c r="C300" s="1" t="s">
        <v>164</v>
      </c>
      <c r="D300" s="1" t="s">
        <v>147</v>
      </c>
      <c r="E300" s="1">
        <v>2</v>
      </c>
      <c r="F300" s="1" t="s">
        <v>145</v>
      </c>
      <c r="G300" s="1">
        <v>105</v>
      </c>
      <c r="H300" s="1">
        <v>12</v>
      </c>
    </row>
    <row r="301" spans="1:8">
      <c r="A301" s="1" t="s">
        <v>108</v>
      </c>
      <c r="B301" s="4">
        <v>40756</v>
      </c>
      <c r="C301" s="1" t="s">
        <v>164</v>
      </c>
      <c r="D301" s="1" t="s">
        <v>147</v>
      </c>
      <c r="E301" s="1">
        <v>2</v>
      </c>
      <c r="F301" s="1" t="s">
        <v>145</v>
      </c>
      <c r="G301" s="1">
        <v>77</v>
      </c>
    </row>
    <row r="302" spans="1:8">
      <c r="A302" s="1" t="s">
        <v>108</v>
      </c>
      <c r="B302" s="4">
        <v>40756</v>
      </c>
      <c r="C302" s="1" t="s">
        <v>164</v>
      </c>
      <c r="D302" s="1" t="s">
        <v>141</v>
      </c>
      <c r="E302" s="1">
        <v>1</v>
      </c>
      <c r="F302" s="1" t="s">
        <v>142</v>
      </c>
      <c r="G302" s="1">
        <v>119</v>
      </c>
      <c r="H302" s="1">
        <v>16</v>
      </c>
    </row>
    <row r="303" spans="1:8">
      <c r="A303" s="1" t="s">
        <v>108</v>
      </c>
      <c r="B303" s="4">
        <v>40756</v>
      </c>
      <c r="C303" s="1" t="s">
        <v>164</v>
      </c>
      <c r="D303" s="1" t="s">
        <v>141</v>
      </c>
      <c r="E303" s="1">
        <v>1</v>
      </c>
      <c r="F303" s="1" t="s">
        <v>142</v>
      </c>
      <c r="G303" s="1">
        <v>95</v>
      </c>
      <c r="H303" s="1">
        <v>6</v>
      </c>
    </row>
    <row r="304" spans="1:8">
      <c r="A304" s="1" t="s">
        <v>108</v>
      </c>
      <c r="B304" s="4">
        <v>40756</v>
      </c>
      <c r="C304" s="1" t="s">
        <v>164</v>
      </c>
      <c r="D304" s="1" t="s">
        <v>141</v>
      </c>
      <c r="E304" s="1">
        <v>1</v>
      </c>
      <c r="F304" s="1" t="s">
        <v>142</v>
      </c>
      <c r="G304" s="1">
        <v>98</v>
      </c>
      <c r="H304" s="1">
        <v>10</v>
      </c>
    </row>
    <row r="305" spans="1:8">
      <c r="A305" s="1" t="s">
        <v>108</v>
      </c>
      <c r="B305" s="4">
        <v>40756</v>
      </c>
      <c r="C305" s="1" t="s">
        <v>164</v>
      </c>
      <c r="D305" s="1" t="s">
        <v>141</v>
      </c>
      <c r="E305" s="1">
        <v>1</v>
      </c>
      <c r="F305" s="1" t="s">
        <v>142</v>
      </c>
      <c r="G305" s="1">
        <v>76</v>
      </c>
      <c r="H305" s="1">
        <v>4</v>
      </c>
    </row>
    <row r="306" spans="1:8">
      <c r="A306" s="1" t="s">
        <v>108</v>
      </c>
      <c r="B306" s="4">
        <v>40756</v>
      </c>
      <c r="C306" s="1" t="s">
        <v>164</v>
      </c>
      <c r="D306" s="1" t="s">
        <v>141</v>
      </c>
      <c r="E306" s="1">
        <v>1</v>
      </c>
      <c r="F306" s="1" t="s">
        <v>145</v>
      </c>
      <c r="G306" s="1">
        <v>89</v>
      </c>
      <c r="H306" s="1">
        <v>6.5</v>
      </c>
    </row>
    <row r="307" spans="1:8">
      <c r="A307" s="1" t="s">
        <v>108</v>
      </c>
      <c r="B307" s="4">
        <v>40756</v>
      </c>
      <c r="C307" s="1" t="s">
        <v>164</v>
      </c>
      <c r="D307" s="1" t="s">
        <v>141</v>
      </c>
      <c r="E307" s="1">
        <v>2</v>
      </c>
      <c r="F307" s="1" t="s">
        <v>142</v>
      </c>
      <c r="G307" s="1">
        <v>78</v>
      </c>
      <c r="H307" s="1">
        <v>4</v>
      </c>
    </row>
    <row r="308" spans="1:8">
      <c r="A308" s="1" t="s">
        <v>108</v>
      </c>
      <c r="B308" s="4">
        <v>40756</v>
      </c>
      <c r="C308" s="1" t="s">
        <v>164</v>
      </c>
      <c r="D308" s="1" t="s">
        <v>141</v>
      </c>
      <c r="E308" s="1">
        <v>2</v>
      </c>
      <c r="F308" s="1" t="s">
        <v>145</v>
      </c>
      <c r="G308" s="1">
        <v>91</v>
      </c>
      <c r="H308" s="1">
        <v>7.5</v>
      </c>
    </row>
    <row r="309" spans="1:8">
      <c r="A309" s="1" t="s">
        <v>88</v>
      </c>
      <c r="B309" s="4">
        <v>40752</v>
      </c>
      <c r="C309" s="1" t="s">
        <v>167</v>
      </c>
      <c r="D309" s="1" t="s">
        <v>147</v>
      </c>
      <c r="E309" s="1">
        <v>1</v>
      </c>
      <c r="F309" s="1" t="s">
        <v>145</v>
      </c>
      <c r="G309" s="1">
        <v>72</v>
      </c>
      <c r="H309" s="1">
        <v>3</v>
      </c>
    </row>
    <row r="310" spans="1:8">
      <c r="A310" s="1" t="s">
        <v>88</v>
      </c>
      <c r="B310" s="4">
        <v>40752</v>
      </c>
      <c r="C310" s="1" t="s">
        <v>167</v>
      </c>
      <c r="D310" s="1" t="s">
        <v>147</v>
      </c>
      <c r="E310" s="1">
        <v>1</v>
      </c>
      <c r="F310" s="1" t="s">
        <v>145</v>
      </c>
      <c r="G310" s="1">
        <v>71</v>
      </c>
      <c r="H310" s="1">
        <v>3</v>
      </c>
    </row>
    <row r="311" spans="1:8">
      <c r="A311" s="1" t="s">
        <v>88</v>
      </c>
      <c r="B311" s="4">
        <v>40752</v>
      </c>
      <c r="C311" s="1" t="s">
        <v>167</v>
      </c>
      <c r="D311" s="1" t="s">
        <v>147</v>
      </c>
      <c r="E311" s="1">
        <v>1</v>
      </c>
      <c r="F311" s="1" t="s">
        <v>145</v>
      </c>
      <c r="G311" s="1">
        <v>76</v>
      </c>
      <c r="H311" s="1">
        <v>3.5</v>
      </c>
    </row>
    <row r="312" spans="1:8">
      <c r="A312" s="1" t="s">
        <v>88</v>
      </c>
      <c r="B312" s="4">
        <v>40752</v>
      </c>
      <c r="C312" s="1" t="s">
        <v>167</v>
      </c>
      <c r="D312" s="1" t="s">
        <v>147</v>
      </c>
      <c r="E312" s="1">
        <v>1</v>
      </c>
      <c r="F312" s="1" t="s">
        <v>145</v>
      </c>
      <c r="G312" s="1">
        <v>100</v>
      </c>
      <c r="H312" s="1">
        <v>10</v>
      </c>
    </row>
    <row r="313" spans="1:8">
      <c r="A313" s="1" t="s">
        <v>88</v>
      </c>
      <c r="B313" s="4">
        <v>40752</v>
      </c>
      <c r="C313" s="1" t="s">
        <v>167</v>
      </c>
      <c r="D313" s="1" t="s">
        <v>147</v>
      </c>
      <c r="E313" s="1">
        <v>1</v>
      </c>
      <c r="F313" s="1" t="s">
        <v>145</v>
      </c>
      <c r="G313" s="1">
        <v>72</v>
      </c>
      <c r="H313" s="1">
        <v>3</v>
      </c>
    </row>
    <row r="314" spans="1:8">
      <c r="A314" s="1" t="s">
        <v>88</v>
      </c>
      <c r="B314" s="4">
        <v>40752</v>
      </c>
      <c r="C314" s="1" t="s">
        <v>167</v>
      </c>
      <c r="D314" s="1" t="s">
        <v>147</v>
      </c>
      <c r="E314" s="1">
        <v>1</v>
      </c>
      <c r="F314" s="1" t="s">
        <v>145</v>
      </c>
      <c r="G314" s="1">
        <v>70</v>
      </c>
      <c r="H314" s="1">
        <v>3</v>
      </c>
    </row>
    <row r="315" spans="1:8">
      <c r="A315" s="1" t="s">
        <v>88</v>
      </c>
      <c r="B315" s="4">
        <v>40752</v>
      </c>
      <c r="C315" s="1" t="s">
        <v>167</v>
      </c>
      <c r="D315" s="1" t="s">
        <v>147</v>
      </c>
      <c r="E315" s="1">
        <v>1</v>
      </c>
      <c r="F315" s="1" t="s">
        <v>145</v>
      </c>
      <c r="G315" s="1">
        <v>67</v>
      </c>
      <c r="H315" s="1">
        <v>2.5</v>
      </c>
    </row>
    <row r="316" spans="1:8">
      <c r="A316" s="1" t="s">
        <v>88</v>
      </c>
      <c r="B316" s="4">
        <v>40752</v>
      </c>
      <c r="C316" s="1" t="s">
        <v>167</v>
      </c>
      <c r="D316" s="1" t="s">
        <v>147</v>
      </c>
      <c r="E316" s="1">
        <v>1</v>
      </c>
      <c r="F316" s="1" t="s">
        <v>145</v>
      </c>
      <c r="G316" s="1">
        <v>106</v>
      </c>
      <c r="H316" s="1">
        <v>10</v>
      </c>
    </row>
    <row r="317" spans="1:8">
      <c r="A317" s="1" t="s">
        <v>88</v>
      </c>
      <c r="B317" s="4">
        <v>40752</v>
      </c>
      <c r="C317" s="1" t="s">
        <v>167</v>
      </c>
      <c r="D317" s="1" t="s">
        <v>147</v>
      </c>
      <c r="E317" s="1">
        <v>1</v>
      </c>
      <c r="F317" s="1" t="s">
        <v>145</v>
      </c>
      <c r="G317" s="1">
        <v>67</v>
      </c>
      <c r="H317" s="1">
        <v>2.5</v>
      </c>
    </row>
    <row r="318" spans="1:8">
      <c r="A318" s="1" t="s">
        <v>88</v>
      </c>
      <c r="B318" s="4">
        <v>40752</v>
      </c>
      <c r="C318" s="1" t="s">
        <v>167</v>
      </c>
      <c r="D318" s="1" t="s">
        <v>147</v>
      </c>
      <c r="E318" s="1">
        <v>1</v>
      </c>
      <c r="F318" s="1" t="s">
        <v>145</v>
      </c>
      <c r="G318" s="1">
        <v>64</v>
      </c>
      <c r="H318" s="1">
        <v>2</v>
      </c>
    </row>
    <row r="319" spans="1:8">
      <c r="A319" s="1" t="s">
        <v>88</v>
      </c>
      <c r="B319" s="4">
        <v>40752</v>
      </c>
      <c r="C319" s="1" t="s">
        <v>167</v>
      </c>
      <c r="D319" s="1" t="s">
        <v>147</v>
      </c>
      <c r="E319" s="1">
        <v>1</v>
      </c>
      <c r="F319" s="1" t="s">
        <v>145</v>
      </c>
      <c r="G319" s="1">
        <v>75</v>
      </c>
      <c r="H319" s="1">
        <v>3.5</v>
      </c>
    </row>
    <row r="320" spans="1:8">
      <c r="A320" s="1" t="s">
        <v>88</v>
      </c>
      <c r="B320" s="4">
        <v>40752</v>
      </c>
      <c r="C320" s="1" t="s">
        <v>167</v>
      </c>
      <c r="D320" s="1" t="s">
        <v>147</v>
      </c>
      <c r="E320" s="1">
        <v>1</v>
      </c>
      <c r="F320" s="1" t="s">
        <v>145</v>
      </c>
      <c r="G320" s="1">
        <v>65</v>
      </c>
      <c r="H320" s="1">
        <v>2.5</v>
      </c>
    </row>
    <row r="321" spans="1:8">
      <c r="A321" s="1" t="s">
        <v>88</v>
      </c>
      <c r="B321" s="4">
        <v>40752</v>
      </c>
      <c r="C321" s="1" t="s">
        <v>167</v>
      </c>
      <c r="D321" s="1" t="s">
        <v>147</v>
      </c>
      <c r="E321" s="1">
        <v>1</v>
      </c>
      <c r="F321" s="1" t="s">
        <v>145</v>
      </c>
      <c r="G321" s="1">
        <v>125</v>
      </c>
      <c r="H321" s="1">
        <v>16</v>
      </c>
    </row>
    <row r="322" spans="1:8">
      <c r="A322" s="1" t="s">
        <v>88</v>
      </c>
      <c r="B322" s="4">
        <v>40752</v>
      </c>
      <c r="C322" s="1" t="s">
        <v>167</v>
      </c>
      <c r="D322" s="1" t="s">
        <v>147</v>
      </c>
      <c r="E322" s="1">
        <v>1</v>
      </c>
      <c r="F322" s="1" t="s">
        <v>145</v>
      </c>
      <c r="G322" s="1">
        <v>117</v>
      </c>
      <c r="H322" s="1">
        <v>15</v>
      </c>
    </row>
    <row r="323" spans="1:8">
      <c r="A323" s="1" t="s">
        <v>88</v>
      </c>
      <c r="B323" s="4">
        <v>40752</v>
      </c>
      <c r="C323" s="1" t="s">
        <v>167</v>
      </c>
      <c r="D323" s="1" t="s">
        <v>147</v>
      </c>
      <c r="E323" s="1">
        <v>1</v>
      </c>
      <c r="F323" s="1" t="s">
        <v>145</v>
      </c>
      <c r="G323" s="1">
        <v>75</v>
      </c>
      <c r="H323" s="1">
        <v>5</v>
      </c>
    </row>
    <row r="324" spans="1:8">
      <c r="A324" s="1" t="s">
        <v>88</v>
      </c>
      <c r="B324" s="4">
        <v>40752</v>
      </c>
      <c r="C324" s="1" t="s">
        <v>167</v>
      </c>
      <c r="D324" s="1" t="s">
        <v>147</v>
      </c>
      <c r="E324" s="1">
        <v>1</v>
      </c>
      <c r="F324" s="1" t="s">
        <v>145</v>
      </c>
      <c r="G324" s="1">
        <v>70</v>
      </c>
      <c r="H324" s="1">
        <v>3.5</v>
      </c>
    </row>
    <row r="325" spans="1:8">
      <c r="A325" s="1" t="s">
        <v>88</v>
      </c>
      <c r="B325" s="4">
        <v>40752</v>
      </c>
      <c r="C325" s="1" t="s">
        <v>167</v>
      </c>
      <c r="D325" s="1" t="s">
        <v>147</v>
      </c>
      <c r="E325" s="1">
        <v>1</v>
      </c>
      <c r="F325" s="1" t="s">
        <v>145</v>
      </c>
      <c r="G325" s="1">
        <v>76</v>
      </c>
      <c r="H325" s="1">
        <v>3.5</v>
      </c>
    </row>
    <row r="326" spans="1:8">
      <c r="A326" s="1" t="s">
        <v>88</v>
      </c>
      <c r="B326" s="4">
        <v>40752</v>
      </c>
      <c r="C326" s="1" t="s">
        <v>167</v>
      </c>
      <c r="D326" s="1" t="s">
        <v>147</v>
      </c>
      <c r="E326" s="1">
        <v>1</v>
      </c>
      <c r="F326" s="1" t="s">
        <v>145</v>
      </c>
      <c r="G326" s="1">
        <v>67</v>
      </c>
      <c r="H326" s="1">
        <v>3</v>
      </c>
    </row>
    <row r="327" spans="1:8">
      <c r="A327" s="1" t="s">
        <v>88</v>
      </c>
      <c r="B327" s="4">
        <v>40752</v>
      </c>
      <c r="C327" s="1" t="s">
        <v>167</v>
      </c>
      <c r="D327" s="1" t="s">
        <v>147</v>
      </c>
      <c r="E327" s="1">
        <v>1</v>
      </c>
      <c r="F327" s="1" t="s">
        <v>145</v>
      </c>
      <c r="G327" s="1">
        <v>82</v>
      </c>
      <c r="H327" s="1">
        <v>6</v>
      </c>
    </row>
    <row r="328" spans="1:8">
      <c r="A328" s="1" t="s">
        <v>88</v>
      </c>
      <c r="B328" s="4">
        <v>40752</v>
      </c>
      <c r="C328" s="1" t="s">
        <v>167</v>
      </c>
      <c r="D328" s="1" t="s">
        <v>147</v>
      </c>
      <c r="E328" s="1">
        <v>1</v>
      </c>
      <c r="F328" s="1" t="s">
        <v>145</v>
      </c>
      <c r="G328" s="1">
        <v>68</v>
      </c>
      <c r="H328" s="1">
        <v>2.5</v>
      </c>
    </row>
    <row r="329" spans="1:8">
      <c r="A329" s="1" t="s">
        <v>88</v>
      </c>
      <c r="B329" s="4">
        <v>40752</v>
      </c>
      <c r="C329" s="1" t="s">
        <v>167</v>
      </c>
      <c r="D329" s="1" t="s">
        <v>147</v>
      </c>
      <c r="E329" s="1">
        <v>1</v>
      </c>
      <c r="F329" s="1" t="s">
        <v>145</v>
      </c>
      <c r="G329" s="1">
        <v>67</v>
      </c>
      <c r="H329" s="1">
        <v>3</v>
      </c>
    </row>
    <row r="330" spans="1:8">
      <c r="A330" s="1" t="s">
        <v>88</v>
      </c>
      <c r="B330" s="4">
        <v>40752</v>
      </c>
      <c r="C330" s="1" t="s">
        <v>167</v>
      </c>
      <c r="D330" s="1" t="s">
        <v>147</v>
      </c>
      <c r="E330" s="1">
        <v>1</v>
      </c>
      <c r="F330" s="1" t="s">
        <v>145</v>
      </c>
      <c r="G330" s="1">
        <v>65</v>
      </c>
      <c r="H330" s="1">
        <v>3</v>
      </c>
    </row>
    <row r="331" spans="1:8">
      <c r="A331" s="1" t="s">
        <v>88</v>
      </c>
      <c r="B331" s="4">
        <v>40752</v>
      </c>
      <c r="C331" s="1" t="s">
        <v>167</v>
      </c>
      <c r="D331" s="1" t="s">
        <v>147</v>
      </c>
      <c r="E331" s="1">
        <v>1</v>
      </c>
      <c r="F331" s="1" t="s">
        <v>145</v>
      </c>
      <c r="G331" s="1">
        <v>68</v>
      </c>
      <c r="H331" s="1">
        <v>2.5</v>
      </c>
    </row>
    <row r="332" spans="1:8">
      <c r="A332" s="1" t="s">
        <v>88</v>
      </c>
      <c r="B332" s="4">
        <v>40752</v>
      </c>
      <c r="C332" s="1" t="s">
        <v>167</v>
      </c>
      <c r="D332" s="1" t="s">
        <v>147</v>
      </c>
      <c r="E332" s="1">
        <v>1</v>
      </c>
      <c r="F332" s="1" t="s">
        <v>145</v>
      </c>
      <c r="G332" s="1">
        <v>35</v>
      </c>
    </row>
    <row r="333" spans="1:8">
      <c r="A333" s="1" t="s">
        <v>88</v>
      </c>
      <c r="B333" s="4">
        <v>40752</v>
      </c>
      <c r="C333" s="1" t="s">
        <v>167</v>
      </c>
      <c r="D333" s="1" t="s">
        <v>147</v>
      </c>
      <c r="E333" s="1">
        <v>1</v>
      </c>
      <c r="F333" s="1" t="s">
        <v>142</v>
      </c>
      <c r="G333" s="1">
        <v>111</v>
      </c>
      <c r="H333" s="1">
        <v>13</v>
      </c>
    </row>
    <row r="334" spans="1:8">
      <c r="A334" s="1" t="s">
        <v>88</v>
      </c>
      <c r="B334" s="4">
        <v>40752</v>
      </c>
      <c r="C334" s="1" t="s">
        <v>167</v>
      </c>
      <c r="D334" s="1" t="s">
        <v>147</v>
      </c>
      <c r="E334" s="1">
        <v>1</v>
      </c>
      <c r="F334" s="1" t="s">
        <v>142</v>
      </c>
      <c r="G334" s="1">
        <v>35</v>
      </c>
    </row>
    <row r="335" spans="1:8">
      <c r="A335" s="1" t="s">
        <v>88</v>
      </c>
      <c r="B335" s="4">
        <v>40752</v>
      </c>
      <c r="C335" s="1" t="s">
        <v>167</v>
      </c>
      <c r="D335" s="1" t="s">
        <v>147</v>
      </c>
      <c r="E335" s="1">
        <v>1</v>
      </c>
      <c r="F335" s="1" t="s">
        <v>142</v>
      </c>
      <c r="G335" s="1">
        <v>35</v>
      </c>
    </row>
    <row r="336" spans="1:8">
      <c r="A336" s="1" t="s">
        <v>88</v>
      </c>
      <c r="B336" s="4">
        <v>40752</v>
      </c>
      <c r="C336" s="1" t="s">
        <v>167</v>
      </c>
      <c r="D336" s="1" t="s">
        <v>147</v>
      </c>
      <c r="E336" s="1">
        <v>2</v>
      </c>
      <c r="F336" s="1" t="s">
        <v>145</v>
      </c>
      <c r="G336" s="1">
        <v>75</v>
      </c>
      <c r="H336" s="1">
        <v>4.5</v>
      </c>
    </row>
    <row r="337" spans="1:8">
      <c r="A337" s="1" t="s">
        <v>88</v>
      </c>
      <c r="B337" s="4">
        <v>40752</v>
      </c>
      <c r="C337" s="1" t="s">
        <v>167</v>
      </c>
      <c r="D337" s="1" t="s">
        <v>147</v>
      </c>
      <c r="E337" s="1">
        <v>2</v>
      </c>
      <c r="F337" s="1" t="s">
        <v>145</v>
      </c>
      <c r="G337" s="1">
        <v>65</v>
      </c>
      <c r="H337" s="1">
        <v>1.5</v>
      </c>
    </row>
    <row r="338" spans="1:8">
      <c r="A338" s="1" t="s">
        <v>88</v>
      </c>
      <c r="B338" s="4">
        <v>40752</v>
      </c>
      <c r="C338" s="1" t="s">
        <v>167</v>
      </c>
      <c r="D338" s="1" t="s">
        <v>147</v>
      </c>
      <c r="E338" s="1">
        <v>2</v>
      </c>
      <c r="F338" s="1" t="s">
        <v>145</v>
      </c>
      <c r="G338" s="1">
        <v>72</v>
      </c>
      <c r="H338" s="1">
        <v>2.5</v>
      </c>
    </row>
    <row r="339" spans="1:8">
      <c r="A339" s="1" t="s">
        <v>88</v>
      </c>
      <c r="B339" s="4">
        <v>40752</v>
      </c>
      <c r="C339" s="1" t="s">
        <v>167</v>
      </c>
      <c r="D339" s="1" t="s">
        <v>147</v>
      </c>
      <c r="E339" s="1">
        <v>2</v>
      </c>
      <c r="F339" s="1" t="s">
        <v>145</v>
      </c>
      <c r="G339" s="1">
        <v>72</v>
      </c>
      <c r="H339" s="1">
        <v>4</v>
      </c>
    </row>
    <row r="340" spans="1:8">
      <c r="A340" s="1" t="s">
        <v>88</v>
      </c>
      <c r="B340" s="4">
        <v>40752</v>
      </c>
      <c r="C340" s="1" t="s">
        <v>167</v>
      </c>
      <c r="D340" s="1" t="s">
        <v>147</v>
      </c>
      <c r="E340" s="1">
        <v>2</v>
      </c>
      <c r="F340" s="1" t="s">
        <v>145</v>
      </c>
      <c r="G340" s="1">
        <v>65</v>
      </c>
      <c r="H340" s="1">
        <v>2.5</v>
      </c>
    </row>
    <row r="341" spans="1:8">
      <c r="A341" s="1" t="s">
        <v>88</v>
      </c>
      <c r="B341" s="4">
        <v>40752</v>
      </c>
      <c r="C341" s="1" t="s">
        <v>167</v>
      </c>
      <c r="D341" s="1" t="s">
        <v>147</v>
      </c>
      <c r="E341" s="1">
        <v>2</v>
      </c>
      <c r="F341" s="1" t="s">
        <v>145</v>
      </c>
      <c r="G341" s="1">
        <v>78</v>
      </c>
      <c r="H341" s="1">
        <v>4.5</v>
      </c>
    </row>
    <row r="342" spans="1:8">
      <c r="A342" s="1" t="s">
        <v>88</v>
      </c>
      <c r="B342" s="4">
        <v>40752</v>
      </c>
      <c r="C342" s="1" t="s">
        <v>167</v>
      </c>
      <c r="D342" s="1" t="s">
        <v>147</v>
      </c>
      <c r="E342" s="1">
        <v>2</v>
      </c>
      <c r="F342" s="1" t="s">
        <v>145</v>
      </c>
      <c r="G342" s="1">
        <v>114</v>
      </c>
      <c r="H342" s="1">
        <v>5</v>
      </c>
    </row>
    <row r="343" spans="1:8">
      <c r="A343" s="1" t="s">
        <v>88</v>
      </c>
      <c r="B343" s="4">
        <v>40752</v>
      </c>
      <c r="C343" s="1" t="s">
        <v>167</v>
      </c>
      <c r="D343" s="1" t="s">
        <v>147</v>
      </c>
      <c r="E343" s="1">
        <v>2</v>
      </c>
      <c r="F343" s="1" t="s">
        <v>145</v>
      </c>
      <c r="G343" s="1">
        <v>33</v>
      </c>
    </row>
    <row r="344" spans="1:8">
      <c r="A344" s="1" t="s">
        <v>88</v>
      </c>
      <c r="B344" s="4">
        <v>40752</v>
      </c>
      <c r="C344" s="1" t="s">
        <v>167</v>
      </c>
      <c r="D344" s="1" t="s">
        <v>147</v>
      </c>
      <c r="E344" s="1">
        <v>2</v>
      </c>
      <c r="F344" s="1" t="s">
        <v>145</v>
      </c>
      <c r="G344" s="1">
        <v>61</v>
      </c>
      <c r="H344" s="1">
        <v>3</v>
      </c>
    </row>
    <row r="345" spans="1:8">
      <c r="A345" s="1" t="s">
        <v>88</v>
      </c>
      <c r="B345" s="4">
        <v>40752</v>
      </c>
      <c r="C345" s="1" t="s">
        <v>167</v>
      </c>
      <c r="D345" s="1" t="s">
        <v>147</v>
      </c>
      <c r="E345" s="1">
        <v>2</v>
      </c>
      <c r="F345" s="1" t="s">
        <v>145</v>
      </c>
      <c r="G345" s="1">
        <v>121</v>
      </c>
      <c r="H345" s="1">
        <v>14</v>
      </c>
    </row>
    <row r="346" spans="1:8">
      <c r="A346" s="1" t="s">
        <v>88</v>
      </c>
      <c r="B346" s="4">
        <v>40752</v>
      </c>
      <c r="C346" s="1" t="s">
        <v>167</v>
      </c>
      <c r="D346" s="1" t="s">
        <v>147</v>
      </c>
      <c r="E346" s="1">
        <v>2</v>
      </c>
      <c r="F346" s="1" t="s">
        <v>145</v>
      </c>
      <c r="G346" s="1">
        <v>101</v>
      </c>
      <c r="H346" s="1">
        <v>11</v>
      </c>
    </row>
    <row r="347" spans="1:8">
      <c r="A347" s="1" t="s">
        <v>88</v>
      </c>
      <c r="B347" s="4">
        <v>40752</v>
      </c>
      <c r="C347" s="1" t="s">
        <v>167</v>
      </c>
      <c r="D347" s="1" t="s">
        <v>141</v>
      </c>
      <c r="E347" s="1">
        <v>1</v>
      </c>
      <c r="F347" s="1" t="s">
        <v>145</v>
      </c>
      <c r="G347" s="1">
        <v>162</v>
      </c>
      <c r="H347" s="1" t="s">
        <v>149</v>
      </c>
    </row>
    <row r="348" spans="1:8">
      <c r="A348" s="1" t="s">
        <v>88</v>
      </c>
      <c r="B348" s="4">
        <v>40752</v>
      </c>
      <c r="C348" s="1" t="s">
        <v>167</v>
      </c>
      <c r="D348" s="1" t="s">
        <v>141</v>
      </c>
      <c r="E348" s="1">
        <v>1</v>
      </c>
      <c r="F348" s="1" t="s">
        <v>145</v>
      </c>
      <c r="G348" s="1">
        <v>68</v>
      </c>
      <c r="H348" s="1">
        <v>4</v>
      </c>
    </row>
    <row r="349" spans="1:8">
      <c r="A349" s="1" t="s">
        <v>88</v>
      </c>
      <c r="B349" s="4">
        <v>40752</v>
      </c>
      <c r="C349" s="1" t="s">
        <v>167</v>
      </c>
      <c r="D349" s="1" t="s">
        <v>141</v>
      </c>
      <c r="E349" s="1">
        <v>1</v>
      </c>
      <c r="F349" s="1" t="s">
        <v>145</v>
      </c>
      <c r="G349" s="1">
        <v>37</v>
      </c>
      <c r="H349" s="1">
        <v>4.5</v>
      </c>
    </row>
    <row r="350" spans="1:8">
      <c r="A350" s="1" t="s">
        <v>88</v>
      </c>
      <c r="B350" s="4">
        <v>40752</v>
      </c>
      <c r="C350" s="1" t="s">
        <v>167</v>
      </c>
      <c r="D350" s="1" t="s">
        <v>141</v>
      </c>
      <c r="E350" s="1">
        <v>1</v>
      </c>
      <c r="F350" s="1" t="s">
        <v>145</v>
      </c>
      <c r="G350" s="1">
        <v>78</v>
      </c>
      <c r="H350" s="1">
        <v>5</v>
      </c>
    </row>
    <row r="351" spans="1:8">
      <c r="A351" s="1" t="s">
        <v>88</v>
      </c>
      <c r="B351" s="4">
        <v>40752</v>
      </c>
      <c r="C351" s="1" t="s">
        <v>167</v>
      </c>
      <c r="D351" s="1" t="s">
        <v>141</v>
      </c>
      <c r="E351" s="1">
        <v>1</v>
      </c>
      <c r="F351" s="1" t="s">
        <v>145</v>
      </c>
      <c r="G351" s="1">
        <v>74</v>
      </c>
      <c r="H351" s="1">
        <v>3</v>
      </c>
    </row>
    <row r="352" spans="1:8">
      <c r="A352" s="1" t="s">
        <v>88</v>
      </c>
      <c r="B352" s="4">
        <v>40752</v>
      </c>
      <c r="C352" s="1" t="s">
        <v>167</v>
      </c>
      <c r="D352" s="1" t="s">
        <v>141</v>
      </c>
      <c r="E352" s="1">
        <v>1</v>
      </c>
      <c r="F352" s="1" t="s">
        <v>145</v>
      </c>
      <c r="G352" s="1">
        <v>75</v>
      </c>
      <c r="H352" s="1">
        <v>3.5</v>
      </c>
    </row>
    <row r="353" spans="1:8">
      <c r="A353" s="1" t="s">
        <v>88</v>
      </c>
      <c r="B353" s="4">
        <v>40752</v>
      </c>
      <c r="C353" s="1" t="s">
        <v>167</v>
      </c>
      <c r="D353" s="1" t="s">
        <v>141</v>
      </c>
      <c r="E353" s="1">
        <v>1</v>
      </c>
      <c r="F353" s="1" t="s">
        <v>145</v>
      </c>
      <c r="G353" s="1">
        <v>67</v>
      </c>
      <c r="H353" s="1">
        <v>3</v>
      </c>
    </row>
    <row r="354" spans="1:8">
      <c r="A354" s="1" t="s">
        <v>88</v>
      </c>
      <c r="B354" s="4">
        <v>40752</v>
      </c>
      <c r="C354" s="1" t="s">
        <v>167</v>
      </c>
      <c r="D354" s="1" t="s">
        <v>141</v>
      </c>
      <c r="E354" s="1">
        <v>1</v>
      </c>
      <c r="F354" s="1" t="s">
        <v>145</v>
      </c>
      <c r="G354" s="1">
        <v>109</v>
      </c>
      <c r="H354" s="1">
        <v>10</v>
      </c>
    </row>
    <row r="355" spans="1:8">
      <c r="A355" s="1" t="s">
        <v>88</v>
      </c>
      <c r="B355" s="4">
        <v>40752</v>
      </c>
      <c r="C355" s="1" t="s">
        <v>167</v>
      </c>
      <c r="D355" s="1" t="s">
        <v>141</v>
      </c>
      <c r="E355" s="1">
        <v>1</v>
      </c>
      <c r="F355" s="1" t="s">
        <v>145</v>
      </c>
      <c r="G355" s="1">
        <v>74</v>
      </c>
      <c r="H355" s="1">
        <v>3.5</v>
      </c>
    </row>
    <row r="356" spans="1:8">
      <c r="A356" s="1" t="s">
        <v>88</v>
      </c>
      <c r="B356" s="4">
        <v>40752</v>
      </c>
      <c r="C356" s="1" t="s">
        <v>167</v>
      </c>
      <c r="D356" s="1" t="s">
        <v>141</v>
      </c>
      <c r="E356" s="1">
        <v>1</v>
      </c>
      <c r="F356" s="1" t="s">
        <v>145</v>
      </c>
      <c r="G356" s="1">
        <v>34</v>
      </c>
    </row>
    <row r="357" spans="1:8">
      <c r="A357" s="1" t="s">
        <v>88</v>
      </c>
      <c r="B357" s="4">
        <v>40752</v>
      </c>
      <c r="C357" s="1" t="s">
        <v>167</v>
      </c>
      <c r="D357" s="1" t="s">
        <v>141</v>
      </c>
      <c r="E357" s="1">
        <v>1</v>
      </c>
      <c r="F357" s="1" t="s">
        <v>145</v>
      </c>
      <c r="G357" s="1">
        <v>40</v>
      </c>
    </row>
    <row r="358" spans="1:8">
      <c r="A358" s="1" t="s">
        <v>88</v>
      </c>
      <c r="B358" s="4">
        <v>40752</v>
      </c>
      <c r="C358" s="1" t="s">
        <v>167</v>
      </c>
      <c r="D358" s="1" t="s">
        <v>141</v>
      </c>
      <c r="E358" s="1">
        <v>1</v>
      </c>
      <c r="F358" s="1" t="s">
        <v>145</v>
      </c>
      <c r="G358" s="1">
        <v>75</v>
      </c>
      <c r="H358" s="1">
        <v>4</v>
      </c>
    </row>
    <row r="359" spans="1:8">
      <c r="A359" s="1" t="s">
        <v>88</v>
      </c>
      <c r="B359" s="4">
        <v>40752</v>
      </c>
      <c r="C359" s="1" t="s">
        <v>167</v>
      </c>
      <c r="D359" s="1" t="s">
        <v>141</v>
      </c>
      <c r="E359" s="1">
        <v>1</v>
      </c>
      <c r="F359" s="1" t="s">
        <v>145</v>
      </c>
      <c r="G359" s="1">
        <v>69</v>
      </c>
      <c r="H359" s="1">
        <v>3</v>
      </c>
    </row>
    <row r="360" spans="1:8">
      <c r="A360" s="1" t="s">
        <v>88</v>
      </c>
      <c r="B360" s="4">
        <v>40752</v>
      </c>
      <c r="C360" s="1" t="s">
        <v>167</v>
      </c>
      <c r="D360" s="1" t="s">
        <v>141</v>
      </c>
      <c r="E360" s="1">
        <v>1</v>
      </c>
      <c r="F360" s="1" t="s">
        <v>145</v>
      </c>
      <c r="G360" s="1">
        <v>125</v>
      </c>
      <c r="H360" s="1">
        <v>16</v>
      </c>
    </row>
    <row r="361" spans="1:8">
      <c r="A361" s="1" t="s">
        <v>88</v>
      </c>
      <c r="B361" s="4">
        <v>40752</v>
      </c>
      <c r="C361" s="1" t="s">
        <v>167</v>
      </c>
      <c r="D361" s="1" t="s">
        <v>141</v>
      </c>
      <c r="E361" s="1">
        <v>1</v>
      </c>
      <c r="F361" s="1" t="s">
        <v>145</v>
      </c>
      <c r="G361" s="1">
        <v>74</v>
      </c>
      <c r="H361" s="1">
        <v>3.5</v>
      </c>
    </row>
    <row r="362" spans="1:8">
      <c r="A362" s="1" t="s">
        <v>88</v>
      </c>
      <c r="B362" s="4">
        <v>40752</v>
      </c>
      <c r="C362" s="1" t="s">
        <v>167</v>
      </c>
      <c r="D362" s="1" t="s">
        <v>141</v>
      </c>
      <c r="E362" s="1">
        <v>1</v>
      </c>
      <c r="F362" s="1" t="s">
        <v>145</v>
      </c>
      <c r="G362" s="1">
        <v>66</v>
      </c>
      <c r="H362" s="1">
        <v>2.5</v>
      </c>
    </row>
    <row r="363" spans="1:8">
      <c r="A363" s="1" t="s">
        <v>88</v>
      </c>
      <c r="B363" s="4">
        <v>40752</v>
      </c>
      <c r="C363" s="1" t="s">
        <v>167</v>
      </c>
      <c r="D363" s="1" t="s">
        <v>141</v>
      </c>
      <c r="E363" s="1">
        <v>1</v>
      </c>
      <c r="F363" s="1" t="s">
        <v>145</v>
      </c>
      <c r="G363" s="1">
        <v>68</v>
      </c>
    </row>
    <row r="364" spans="1:8">
      <c r="A364" s="1" t="s">
        <v>88</v>
      </c>
      <c r="B364" s="4">
        <v>40752</v>
      </c>
      <c r="C364" s="1" t="s">
        <v>167</v>
      </c>
      <c r="D364" s="1" t="s">
        <v>141</v>
      </c>
      <c r="E364" s="1">
        <v>1</v>
      </c>
      <c r="F364" s="1" t="s">
        <v>145</v>
      </c>
      <c r="G364" s="1">
        <v>60</v>
      </c>
      <c r="H364" s="1">
        <v>2.5</v>
      </c>
    </row>
    <row r="365" spans="1:8">
      <c r="A365" s="1" t="s">
        <v>88</v>
      </c>
      <c r="B365" s="4">
        <v>40752</v>
      </c>
      <c r="C365" s="1" t="s">
        <v>167</v>
      </c>
      <c r="D365" s="1" t="s">
        <v>141</v>
      </c>
      <c r="E365" s="1">
        <v>1</v>
      </c>
      <c r="F365" s="1" t="s">
        <v>145</v>
      </c>
      <c r="G365" s="1">
        <v>69</v>
      </c>
      <c r="H365" s="1">
        <v>2.5</v>
      </c>
    </row>
    <row r="366" spans="1:8">
      <c r="A366" s="1" t="s">
        <v>88</v>
      </c>
      <c r="B366" s="4">
        <v>40752</v>
      </c>
      <c r="C366" s="1" t="s">
        <v>167</v>
      </c>
      <c r="D366" s="1" t="s">
        <v>141</v>
      </c>
      <c r="E366" s="1">
        <v>1</v>
      </c>
      <c r="F366" s="1" t="s">
        <v>145</v>
      </c>
      <c r="G366" s="1">
        <v>35</v>
      </c>
    </row>
    <row r="367" spans="1:8">
      <c r="A367" s="1" t="s">
        <v>88</v>
      </c>
      <c r="B367" s="4">
        <v>40752</v>
      </c>
      <c r="C367" s="1" t="s">
        <v>167</v>
      </c>
      <c r="D367" s="1" t="s">
        <v>141</v>
      </c>
      <c r="E367" s="1">
        <v>2</v>
      </c>
      <c r="F367" s="1" t="s">
        <v>145</v>
      </c>
      <c r="G367" s="1">
        <v>130</v>
      </c>
      <c r="H367" s="1">
        <v>18</v>
      </c>
    </row>
    <row r="368" spans="1:8">
      <c r="A368" s="1" t="s">
        <v>88</v>
      </c>
      <c r="B368" s="4">
        <v>40752</v>
      </c>
      <c r="C368" s="1" t="s">
        <v>167</v>
      </c>
      <c r="D368" s="1" t="s">
        <v>141</v>
      </c>
      <c r="E368" s="1">
        <v>2</v>
      </c>
      <c r="F368" s="1" t="s">
        <v>145</v>
      </c>
      <c r="G368" s="1">
        <v>60</v>
      </c>
      <c r="H368" s="1">
        <v>3</v>
      </c>
    </row>
    <row r="369" spans="1:8">
      <c r="A369" s="1" t="s">
        <v>88</v>
      </c>
      <c r="B369" s="4">
        <v>40752</v>
      </c>
      <c r="C369" s="1" t="s">
        <v>167</v>
      </c>
      <c r="D369" s="1" t="s">
        <v>141</v>
      </c>
      <c r="E369" s="1">
        <v>2</v>
      </c>
      <c r="F369" s="1" t="s">
        <v>145</v>
      </c>
      <c r="G369" s="1">
        <v>38</v>
      </c>
      <c r="H369" s="1">
        <v>3</v>
      </c>
    </row>
    <row r="370" spans="1:8">
      <c r="A370" s="1" t="s">
        <v>88</v>
      </c>
      <c r="B370" s="4">
        <v>40752</v>
      </c>
      <c r="C370" s="1" t="s">
        <v>167</v>
      </c>
      <c r="D370" s="1" t="s">
        <v>141</v>
      </c>
      <c r="E370" s="1">
        <v>2</v>
      </c>
      <c r="F370" s="1" t="s">
        <v>145</v>
      </c>
      <c r="G370" s="1">
        <v>73</v>
      </c>
      <c r="H370" s="1">
        <v>3.5</v>
      </c>
    </row>
    <row r="371" spans="1:8">
      <c r="A371" s="1" t="s">
        <v>88</v>
      </c>
      <c r="B371" s="4">
        <v>40752</v>
      </c>
      <c r="C371" s="1" t="s">
        <v>167</v>
      </c>
      <c r="D371" s="1" t="s">
        <v>141</v>
      </c>
      <c r="E371" s="1">
        <v>2</v>
      </c>
      <c r="F371" s="1" t="s">
        <v>145</v>
      </c>
      <c r="G371" s="1">
        <v>100</v>
      </c>
      <c r="H371" s="1">
        <v>11</v>
      </c>
    </row>
    <row r="372" spans="1:8">
      <c r="A372" s="1" t="s">
        <v>88</v>
      </c>
      <c r="B372" s="4">
        <v>40752</v>
      </c>
      <c r="C372" s="1" t="s">
        <v>167</v>
      </c>
      <c r="D372" s="1" t="s">
        <v>141</v>
      </c>
      <c r="E372" s="1">
        <v>2</v>
      </c>
      <c r="F372" s="1" t="s">
        <v>145</v>
      </c>
      <c r="G372" s="1">
        <v>36</v>
      </c>
    </row>
    <row r="373" spans="1:8">
      <c r="A373" s="1" t="s">
        <v>88</v>
      </c>
      <c r="B373" s="4">
        <v>40752</v>
      </c>
      <c r="C373" s="1" t="s">
        <v>167</v>
      </c>
      <c r="D373" s="1" t="s">
        <v>141</v>
      </c>
      <c r="E373" s="1">
        <v>2</v>
      </c>
      <c r="F373" s="1" t="s">
        <v>145</v>
      </c>
      <c r="G373" s="1">
        <v>75</v>
      </c>
      <c r="H373" s="1">
        <v>3.5</v>
      </c>
    </row>
    <row r="374" spans="1:8">
      <c r="A374" s="1" t="s">
        <v>88</v>
      </c>
      <c r="B374" s="4">
        <v>40752</v>
      </c>
      <c r="C374" s="1" t="s">
        <v>167</v>
      </c>
      <c r="D374" s="1" t="s">
        <v>141</v>
      </c>
      <c r="E374" s="1">
        <v>2</v>
      </c>
      <c r="F374" s="1" t="s">
        <v>145</v>
      </c>
      <c r="G374" s="1">
        <v>66</v>
      </c>
      <c r="H374" s="1">
        <v>2.5</v>
      </c>
    </row>
    <row r="375" spans="1:8">
      <c r="A375" s="1" t="s">
        <v>88</v>
      </c>
      <c r="B375" s="4">
        <v>40752</v>
      </c>
      <c r="C375" s="1" t="s">
        <v>167</v>
      </c>
      <c r="D375" s="1" t="s">
        <v>141</v>
      </c>
      <c r="E375" s="1">
        <v>2</v>
      </c>
      <c r="F375" s="1" t="s">
        <v>145</v>
      </c>
      <c r="G375" s="1">
        <v>72</v>
      </c>
      <c r="H375" s="1">
        <v>3</v>
      </c>
    </row>
    <row r="376" spans="1:8">
      <c r="A376" s="1" t="s">
        <v>88</v>
      </c>
      <c r="B376" s="4">
        <v>40752</v>
      </c>
      <c r="C376" s="1" t="s">
        <v>167</v>
      </c>
      <c r="D376" s="1" t="s">
        <v>141</v>
      </c>
      <c r="E376" s="1">
        <v>2</v>
      </c>
      <c r="F376" s="1" t="s">
        <v>145</v>
      </c>
      <c r="G376" s="1">
        <v>75</v>
      </c>
      <c r="H376" s="1">
        <v>3.5</v>
      </c>
    </row>
    <row r="377" spans="1:8">
      <c r="A377" s="1" t="s">
        <v>88</v>
      </c>
      <c r="B377" s="4">
        <v>40752</v>
      </c>
      <c r="C377" s="1" t="s">
        <v>167</v>
      </c>
      <c r="D377" s="1" t="s">
        <v>141</v>
      </c>
      <c r="E377" s="1">
        <v>2</v>
      </c>
      <c r="F377" s="1" t="s">
        <v>142</v>
      </c>
      <c r="G377" s="1">
        <v>70</v>
      </c>
      <c r="H377" s="1">
        <v>3</v>
      </c>
    </row>
    <row r="378" spans="1:8">
      <c r="A378" s="1" t="s">
        <v>88</v>
      </c>
      <c r="B378" s="4">
        <v>40752</v>
      </c>
      <c r="C378" s="1" t="s">
        <v>167</v>
      </c>
      <c r="D378" s="1" t="s">
        <v>141</v>
      </c>
      <c r="E378" s="1">
        <v>2</v>
      </c>
      <c r="F378" s="1" t="s">
        <v>142</v>
      </c>
      <c r="G378" s="1">
        <v>78</v>
      </c>
      <c r="H378" s="1">
        <v>5</v>
      </c>
    </row>
    <row r="379" spans="1:8">
      <c r="A379" s="1" t="s">
        <v>88</v>
      </c>
      <c r="B379" s="4">
        <v>40752</v>
      </c>
      <c r="C379" s="1" t="s">
        <v>167</v>
      </c>
      <c r="D379" s="1" t="s">
        <v>141</v>
      </c>
      <c r="E379" s="1">
        <v>2</v>
      </c>
      <c r="F379" s="1" t="s">
        <v>142</v>
      </c>
      <c r="G379" s="1">
        <v>35</v>
      </c>
    </row>
    <row r="380" spans="1:8">
      <c r="A380" s="1" t="s">
        <v>88</v>
      </c>
      <c r="B380" s="4">
        <v>40752</v>
      </c>
      <c r="C380" s="1" t="s">
        <v>167</v>
      </c>
      <c r="D380" s="1" t="s">
        <v>150</v>
      </c>
      <c r="E380" s="1">
        <v>1</v>
      </c>
      <c r="F380" s="1" t="s">
        <v>145</v>
      </c>
      <c r="G380" s="1">
        <v>102</v>
      </c>
      <c r="H380" s="1">
        <v>11</v>
      </c>
    </row>
    <row r="381" spans="1:8">
      <c r="A381" s="1" t="s">
        <v>88</v>
      </c>
      <c r="B381" s="4">
        <v>40752</v>
      </c>
      <c r="C381" s="1" t="s">
        <v>167</v>
      </c>
      <c r="D381" s="1" t="s">
        <v>150</v>
      </c>
      <c r="E381" s="1">
        <v>1</v>
      </c>
      <c r="F381" s="1" t="s">
        <v>145</v>
      </c>
      <c r="G381" s="1">
        <v>70</v>
      </c>
      <c r="H381" s="1">
        <v>4</v>
      </c>
    </row>
    <row r="382" spans="1:8">
      <c r="A382" s="1" t="s">
        <v>88</v>
      </c>
      <c r="B382" s="4">
        <v>40752</v>
      </c>
      <c r="C382" s="1" t="s">
        <v>167</v>
      </c>
      <c r="D382" s="1" t="s">
        <v>150</v>
      </c>
      <c r="E382" s="1">
        <v>1</v>
      </c>
      <c r="F382" s="1" t="s">
        <v>145</v>
      </c>
      <c r="G382" s="1">
        <v>62</v>
      </c>
      <c r="H382" s="1">
        <v>3</v>
      </c>
    </row>
    <row r="383" spans="1:8">
      <c r="A383" s="1" t="s">
        <v>88</v>
      </c>
      <c r="B383" s="4">
        <v>40752</v>
      </c>
      <c r="C383" s="1" t="s">
        <v>167</v>
      </c>
      <c r="D383" s="1" t="s">
        <v>150</v>
      </c>
      <c r="E383" s="1">
        <v>1</v>
      </c>
      <c r="F383" s="1" t="s">
        <v>145</v>
      </c>
      <c r="G383" s="1">
        <v>35</v>
      </c>
    </row>
    <row r="384" spans="1:8">
      <c r="A384" s="1" t="s">
        <v>88</v>
      </c>
      <c r="B384" s="4">
        <v>40752</v>
      </c>
      <c r="C384" s="1" t="s">
        <v>167</v>
      </c>
      <c r="D384" s="1" t="s">
        <v>150</v>
      </c>
      <c r="E384" s="1">
        <v>1</v>
      </c>
      <c r="F384" s="1" t="s">
        <v>145</v>
      </c>
      <c r="G384" s="1">
        <v>94</v>
      </c>
      <c r="H384" s="1">
        <v>7</v>
      </c>
    </row>
    <row r="385" spans="1:8">
      <c r="A385" s="1" t="s">
        <v>88</v>
      </c>
      <c r="B385" s="4">
        <v>40752</v>
      </c>
      <c r="C385" s="1" t="s">
        <v>167</v>
      </c>
      <c r="D385" s="1" t="s">
        <v>150</v>
      </c>
      <c r="E385" s="1">
        <v>1</v>
      </c>
      <c r="F385" s="1" t="s">
        <v>145</v>
      </c>
      <c r="G385" s="1">
        <v>75</v>
      </c>
      <c r="H385" s="1">
        <v>3.5</v>
      </c>
    </row>
    <row r="386" spans="1:8">
      <c r="A386" s="1" t="s">
        <v>88</v>
      </c>
      <c r="B386" s="4">
        <v>40752</v>
      </c>
      <c r="C386" s="1" t="s">
        <v>167</v>
      </c>
      <c r="D386" s="1" t="s">
        <v>150</v>
      </c>
      <c r="E386" s="1">
        <v>1</v>
      </c>
      <c r="F386" s="1" t="s">
        <v>145</v>
      </c>
      <c r="G386" s="1">
        <v>60</v>
      </c>
      <c r="H386" s="1">
        <v>2</v>
      </c>
    </row>
    <row r="387" spans="1:8">
      <c r="A387" s="1" t="s">
        <v>88</v>
      </c>
      <c r="B387" s="4">
        <v>40752</v>
      </c>
      <c r="C387" s="1" t="s">
        <v>167</v>
      </c>
      <c r="D387" s="1" t="s">
        <v>150</v>
      </c>
      <c r="E387" s="1">
        <v>1</v>
      </c>
      <c r="F387" s="1" t="s">
        <v>145</v>
      </c>
      <c r="G387" s="1">
        <v>110</v>
      </c>
      <c r="H387" s="1">
        <v>14</v>
      </c>
    </row>
    <row r="388" spans="1:8">
      <c r="A388" s="1" t="s">
        <v>88</v>
      </c>
      <c r="B388" s="4">
        <v>40752</v>
      </c>
      <c r="C388" s="1" t="s">
        <v>167</v>
      </c>
      <c r="D388" s="1" t="s">
        <v>150</v>
      </c>
      <c r="E388" s="1">
        <v>1</v>
      </c>
      <c r="F388" s="1" t="s">
        <v>145</v>
      </c>
      <c r="G388" s="1">
        <v>70</v>
      </c>
      <c r="H388" s="1">
        <v>3</v>
      </c>
    </row>
    <row r="389" spans="1:8">
      <c r="A389" s="1" t="s">
        <v>88</v>
      </c>
      <c r="B389" s="4">
        <v>40752</v>
      </c>
      <c r="C389" s="1" t="s">
        <v>167</v>
      </c>
      <c r="D389" s="1" t="s">
        <v>150</v>
      </c>
      <c r="E389" s="1">
        <v>1</v>
      </c>
      <c r="F389" s="1" t="s">
        <v>145</v>
      </c>
      <c r="G389" s="1">
        <v>19</v>
      </c>
      <c r="H389" s="1">
        <v>4.5</v>
      </c>
    </row>
    <row r="390" spans="1:8">
      <c r="A390" s="1" t="s">
        <v>88</v>
      </c>
      <c r="B390" s="4">
        <v>40752</v>
      </c>
      <c r="C390" s="1" t="s">
        <v>167</v>
      </c>
      <c r="D390" s="1" t="s">
        <v>150</v>
      </c>
      <c r="E390" s="1">
        <v>1</v>
      </c>
      <c r="F390" s="1" t="s">
        <v>145</v>
      </c>
      <c r="G390" s="1">
        <v>66</v>
      </c>
      <c r="H390" s="1">
        <v>3</v>
      </c>
    </row>
    <row r="391" spans="1:8">
      <c r="A391" s="1" t="s">
        <v>88</v>
      </c>
      <c r="B391" s="4">
        <v>40752</v>
      </c>
      <c r="C391" s="1" t="s">
        <v>167</v>
      </c>
      <c r="D391" s="1" t="s">
        <v>150</v>
      </c>
      <c r="E391" s="1">
        <v>1</v>
      </c>
      <c r="F391" s="1" t="s">
        <v>145</v>
      </c>
      <c r="G391" s="1">
        <v>101</v>
      </c>
      <c r="H391" s="1">
        <v>9</v>
      </c>
    </row>
    <row r="392" spans="1:8">
      <c r="A392" s="1" t="s">
        <v>88</v>
      </c>
      <c r="B392" s="4">
        <v>40752</v>
      </c>
      <c r="C392" s="1" t="s">
        <v>167</v>
      </c>
      <c r="D392" s="1" t="s">
        <v>150</v>
      </c>
      <c r="E392" s="1">
        <v>1</v>
      </c>
      <c r="F392" s="1" t="s">
        <v>145</v>
      </c>
      <c r="G392" s="1">
        <v>69</v>
      </c>
      <c r="H392" s="1">
        <v>4</v>
      </c>
    </row>
    <row r="393" spans="1:8">
      <c r="A393" s="1" t="s">
        <v>88</v>
      </c>
      <c r="B393" s="4">
        <v>40752</v>
      </c>
      <c r="C393" s="1" t="s">
        <v>167</v>
      </c>
      <c r="D393" s="1" t="s">
        <v>150</v>
      </c>
      <c r="E393" s="1">
        <v>1</v>
      </c>
      <c r="F393" s="1" t="s">
        <v>145</v>
      </c>
      <c r="G393" s="1">
        <v>65</v>
      </c>
      <c r="H393" s="1">
        <v>2.5</v>
      </c>
    </row>
    <row r="394" spans="1:8">
      <c r="A394" s="1" t="s">
        <v>88</v>
      </c>
      <c r="B394" s="4">
        <v>40752</v>
      </c>
      <c r="C394" s="1" t="s">
        <v>167</v>
      </c>
      <c r="D394" s="1" t="s">
        <v>150</v>
      </c>
      <c r="E394" s="1">
        <v>1</v>
      </c>
      <c r="F394" s="1" t="s">
        <v>145</v>
      </c>
      <c r="G394" s="1">
        <v>74</v>
      </c>
      <c r="H394" s="1">
        <v>4</v>
      </c>
    </row>
    <row r="395" spans="1:8">
      <c r="A395" s="1" t="s">
        <v>88</v>
      </c>
      <c r="B395" s="4">
        <v>40752</v>
      </c>
      <c r="C395" s="1" t="s">
        <v>167</v>
      </c>
      <c r="D395" s="1" t="s">
        <v>150</v>
      </c>
      <c r="E395" s="1">
        <v>1</v>
      </c>
      <c r="F395" s="1" t="s">
        <v>145</v>
      </c>
      <c r="G395" s="1">
        <v>73</v>
      </c>
      <c r="H395" s="1">
        <v>3.5</v>
      </c>
    </row>
    <row r="396" spans="1:8">
      <c r="A396" s="1" t="s">
        <v>88</v>
      </c>
      <c r="B396" s="4">
        <v>40752</v>
      </c>
      <c r="C396" s="1" t="s">
        <v>167</v>
      </c>
      <c r="D396" s="1" t="s">
        <v>150</v>
      </c>
      <c r="E396" s="1">
        <v>1</v>
      </c>
      <c r="F396" s="1" t="s">
        <v>145</v>
      </c>
      <c r="G396" s="1">
        <v>105</v>
      </c>
      <c r="H396" s="1">
        <v>3</v>
      </c>
    </row>
    <row r="397" spans="1:8">
      <c r="A397" s="1" t="s">
        <v>88</v>
      </c>
      <c r="B397" s="4">
        <v>40752</v>
      </c>
      <c r="C397" s="1" t="s">
        <v>167</v>
      </c>
      <c r="D397" s="1" t="s">
        <v>150</v>
      </c>
      <c r="E397" s="1">
        <v>1</v>
      </c>
      <c r="F397" s="1" t="s">
        <v>145</v>
      </c>
      <c r="G397" s="1">
        <v>30</v>
      </c>
      <c r="H397" s="1">
        <v>12</v>
      </c>
    </row>
    <row r="398" spans="1:8">
      <c r="A398" s="1" t="s">
        <v>88</v>
      </c>
      <c r="B398" s="4">
        <v>40752</v>
      </c>
      <c r="C398" s="1" t="s">
        <v>167</v>
      </c>
      <c r="D398" s="1" t="s">
        <v>150</v>
      </c>
      <c r="E398" s="1">
        <v>1</v>
      </c>
      <c r="F398" s="1" t="s">
        <v>145</v>
      </c>
      <c r="G398" s="1">
        <v>33</v>
      </c>
    </row>
    <row r="399" spans="1:8">
      <c r="A399" s="1" t="s">
        <v>88</v>
      </c>
      <c r="B399" s="4">
        <v>40752</v>
      </c>
      <c r="C399" s="1" t="s">
        <v>167</v>
      </c>
      <c r="D399" s="1" t="s">
        <v>150</v>
      </c>
      <c r="E399" s="1">
        <v>1</v>
      </c>
      <c r="F399" s="1" t="s">
        <v>145</v>
      </c>
      <c r="G399" s="1">
        <v>70</v>
      </c>
    </row>
    <row r="400" spans="1:8">
      <c r="A400" s="1" t="s">
        <v>88</v>
      </c>
      <c r="B400" s="4">
        <v>40752</v>
      </c>
      <c r="C400" s="1" t="s">
        <v>167</v>
      </c>
      <c r="D400" s="1" t="s">
        <v>150</v>
      </c>
      <c r="E400" s="1">
        <v>1</v>
      </c>
      <c r="F400" s="1" t="s">
        <v>142</v>
      </c>
      <c r="G400" s="1">
        <v>89</v>
      </c>
      <c r="H400" s="1">
        <v>6</v>
      </c>
    </row>
    <row r="401" spans="1:8">
      <c r="A401" s="1" t="s">
        <v>88</v>
      </c>
      <c r="B401" s="4">
        <v>40752</v>
      </c>
      <c r="C401" s="1" t="s">
        <v>167</v>
      </c>
      <c r="D401" s="1" t="s">
        <v>150</v>
      </c>
      <c r="E401" s="1">
        <v>1</v>
      </c>
      <c r="F401" s="1" t="s">
        <v>142</v>
      </c>
      <c r="G401" s="1">
        <v>65</v>
      </c>
      <c r="H401" s="1">
        <v>3</v>
      </c>
    </row>
    <row r="402" spans="1:8">
      <c r="A402" s="1" t="s">
        <v>88</v>
      </c>
      <c r="B402" s="4">
        <v>40752</v>
      </c>
      <c r="C402" s="1" t="s">
        <v>167</v>
      </c>
      <c r="D402" s="1" t="s">
        <v>150</v>
      </c>
      <c r="E402" s="1">
        <v>1</v>
      </c>
      <c r="F402" s="1" t="s">
        <v>142</v>
      </c>
      <c r="G402" s="1">
        <v>36</v>
      </c>
    </row>
    <row r="403" spans="1:8">
      <c r="A403" s="1" t="s">
        <v>88</v>
      </c>
      <c r="B403" s="4">
        <v>40752</v>
      </c>
      <c r="C403" s="1" t="s">
        <v>167</v>
      </c>
      <c r="D403" s="1" t="s">
        <v>150</v>
      </c>
      <c r="E403" s="1">
        <v>1</v>
      </c>
      <c r="F403" s="1" t="s">
        <v>142</v>
      </c>
      <c r="G403" s="1">
        <v>54</v>
      </c>
    </row>
    <row r="404" spans="1:8">
      <c r="A404" s="1" t="s">
        <v>88</v>
      </c>
      <c r="B404" s="4">
        <v>40752</v>
      </c>
      <c r="C404" s="1" t="s">
        <v>167</v>
      </c>
      <c r="D404" s="1" t="s">
        <v>150</v>
      </c>
      <c r="E404" s="1">
        <v>1</v>
      </c>
      <c r="F404" s="1" t="s">
        <v>142</v>
      </c>
      <c r="G404" s="1">
        <v>35</v>
      </c>
    </row>
    <row r="405" spans="1:8">
      <c r="A405" s="1" t="s">
        <v>88</v>
      </c>
      <c r="B405" s="4">
        <v>40752</v>
      </c>
      <c r="C405" s="1" t="s">
        <v>167</v>
      </c>
      <c r="D405" s="1" t="s">
        <v>150</v>
      </c>
      <c r="E405" s="1">
        <v>1</v>
      </c>
      <c r="F405" s="1" t="s">
        <v>142</v>
      </c>
      <c r="G405" s="1">
        <v>36</v>
      </c>
    </row>
    <row r="406" spans="1:8">
      <c r="A406" s="1" t="s">
        <v>88</v>
      </c>
      <c r="B406" s="4">
        <v>40752</v>
      </c>
      <c r="C406" s="1" t="s">
        <v>167</v>
      </c>
      <c r="D406" s="1" t="s">
        <v>150</v>
      </c>
      <c r="E406" s="1">
        <v>1</v>
      </c>
      <c r="F406" s="1" t="s">
        <v>142</v>
      </c>
      <c r="G406" s="1">
        <v>70</v>
      </c>
      <c r="H406" s="1">
        <v>3.5</v>
      </c>
    </row>
    <row r="407" spans="1:8">
      <c r="A407" s="1" t="s">
        <v>88</v>
      </c>
      <c r="B407" s="4">
        <v>40752</v>
      </c>
      <c r="C407" s="1" t="s">
        <v>167</v>
      </c>
      <c r="D407" s="1" t="s">
        <v>150</v>
      </c>
      <c r="E407" s="1">
        <v>1</v>
      </c>
      <c r="F407" s="1" t="s">
        <v>142</v>
      </c>
      <c r="G407" s="1">
        <v>70</v>
      </c>
      <c r="H407" s="1">
        <v>3</v>
      </c>
    </row>
    <row r="408" spans="1:8">
      <c r="A408" s="1" t="s">
        <v>88</v>
      </c>
      <c r="B408" s="4">
        <v>40752</v>
      </c>
      <c r="C408" s="1" t="s">
        <v>167</v>
      </c>
      <c r="D408" s="1" t="s">
        <v>150</v>
      </c>
      <c r="E408" s="1">
        <v>1</v>
      </c>
      <c r="F408" s="1" t="s">
        <v>142</v>
      </c>
      <c r="G408" s="1">
        <v>35</v>
      </c>
    </row>
    <row r="409" spans="1:8">
      <c r="A409" s="1" t="s">
        <v>88</v>
      </c>
      <c r="B409" s="4">
        <v>40752</v>
      </c>
      <c r="C409" s="1" t="s">
        <v>167</v>
      </c>
      <c r="D409" s="1" t="s">
        <v>150</v>
      </c>
      <c r="E409" s="1">
        <v>2</v>
      </c>
      <c r="F409" s="1" t="s">
        <v>142</v>
      </c>
      <c r="G409" s="1">
        <v>32</v>
      </c>
    </row>
    <row r="410" spans="1:8">
      <c r="A410" s="1" t="s">
        <v>88</v>
      </c>
      <c r="B410" s="4">
        <v>40752</v>
      </c>
      <c r="C410" s="1" t="s">
        <v>167</v>
      </c>
      <c r="D410" s="1" t="s">
        <v>150</v>
      </c>
      <c r="E410" s="1">
        <v>2</v>
      </c>
      <c r="F410" s="1" t="s">
        <v>145</v>
      </c>
      <c r="G410" s="1">
        <v>129</v>
      </c>
      <c r="H410" s="1">
        <v>16</v>
      </c>
    </row>
    <row r="411" spans="1:8">
      <c r="A411" s="1" t="s">
        <v>88</v>
      </c>
      <c r="B411" s="4">
        <v>40752</v>
      </c>
      <c r="C411" s="1" t="s">
        <v>167</v>
      </c>
      <c r="D411" s="1" t="s">
        <v>150</v>
      </c>
      <c r="E411" s="1">
        <v>2</v>
      </c>
      <c r="F411" s="1" t="s">
        <v>145</v>
      </c>
      <c r="G411" s="1">
        <v>75</v>
      </c>
      <c r="H411" s="1">
        <v>4</v>
      </c>
    </row>
    <row r="412" spans="1:8">
      <c r="A412" s="1" t="s">
        <v>88</v>
      </c>
      <c r="B412" s="4">
        <v>40752</v>
      </c>
      <c r="C412" s="1" t="s">
        <v>167</v>
      </c>
      <c r="D412" s="1" t="s">
        <v>150</v>
      </c>
      <c r="E412" s="1">
        <v>2</v>
      </c>
      <c r="F412" s="1" t="s">
        <v>145</v>
      </c>
      <c r="G412" s="1">
        <v>71</v>
      </c>
      <c r="H412" s="1">
        <v>4</v>
      </c>
    </row>
    <row r="413" spans="1:8">
      <c r="A413" s="1" t="s">
        <v>88</v>
      </c>
      <c r="B413" s="4">
        <v>40752</v>
      </c>
      <c r="C413" s="1" t="s">
        <v>167</v>
      </c>
      <c r="D413" s="1" t="s">
        <v>150</v>
      </c>
      <c r="E413" s="1">
        <v>2</v>
      </c>
      <c r="F413" s="1" t="s">
        <v>145</v>
      </c>
      <c r="G413" s="1">
        <v>39</v>
      </c>
      <c r="H413" s="1">
        <v>3</v>
      </c>
    </row>
    <row r="414" spans="1:8">
      <c r="A414" s="1" t="s">
        <v>88</v>
      </c>
      <c r="B414" s="4">
        <v>40752</v>
      </c>
      <c r="C414" s="1" t="s">
        <v>167</v>
      </c>
      <c r="D414" s="1" t="s">
        <v>150</v>
      </c>
      <c r="E414" s="1">
        <v>2</v>
      </c>
      <c r="F414" s="1" t="s">
        <v>145</v>
      </c>
      <c r="G414" s="1">
        <v>37</v>
      </c>
    </row>
    <row r="415" spans="1:8">
      <c r="A415" s="1" t="s">
        <v>88</v>
      </c>
      <c r="B415" s="4">
        <v>40752</v>
      </c>
      <c r="C415" s="1" t="s">
        <v>167</v>
      </c>
      <c r="D415" s="1" t="s">
        <v>150</v>
      </c>
      <c r="E415" s="1">
        <v>2</v>
      </c>
      <c r="F415" s="1" t="s">
        <v>145</v>
      </c>
      <c r="G415" s="1">
        <v>76</v>
      </c>
      <c r="H415" s="1">
        <v>4</v>
      </c>
    </row>
    <row r="416" spans="1:8">
      <c r="A416" s="1" t="s">
        <v>88</v>
      </c>
      <c r="B416" s="4">
        <v>40752</v>
      </c>
      <c r="C416" s="1" t="s">
        <v>167</v>
      </c>
      <c r="D416" s="1" t="s">
        <v>150</v>
      </c>
      <c r="E416" s="1">
        <v>2</v>
      </c>
      <c r="F416" s="1" t="s">
        <v>145</v>
      </c>
      <c r="G416" s="1">
        <v>65</v>
      </c>
      <c r="H416" s="1">
        <v>3</v>
      </c>
    </row>
    <row r="417" spans="1:10">
      <c r="A417" s="1" t="s">
        <v>88</v>
      </c>
      <c r="B417" s="4">
        <v>40752</v>
      </c>
      <c r="C417" s="1" t="s">
        <v>167</v>
      </c>
      <c r="D417" s="1" t="s">
        <v>150</v>
      </c>
      <c r="E417" s="1">
        <v>2</v>
      </c>
      <c r="F417" s="1" t="s">
        <v>145</v>
      </c>
      <c r="G417" s="1">
        <v>111</v>
      </c>
      <c r="H417" s="1">
        <v>14</v>
      </c>
    </row>
    <row r="418" spans="1:10">
      <c r="A418" s="1" t="s">
        <v>88</v>
      </c>
      <c r="B418" s="4">
        <v>40752</v>
      </c>
      <c r="C418" s="1" t="s">
        <v>167</v>
      </c>
      <c r="D418" s="1" t="s">
        <v>150</v>
      </c>
      <c r="E418" s="1">
        <v>2</v>
      </c>
      <c r="F418" s="1" t="s">
        <v>145</v>
      </c>
      <c r="G418" s="1">
        <v>109</v>
      </c>
      <c r="H418" s="1">
        <v>14</v>
      </c>
    </row>
    <row r="419" spans="1:10">
      <c r="A419" s="1" t="s">
        <v>90</v>
      </c>
      <c r="B419" s="4">
        <v>40751</v>
      </c>
      <c r="C419" s="1" t="s">
        <v>168</v>
      </c>
      <c r="D419" s="1" t="s">
        <v>141</v>
      </c>
      <c r="E419" s="1">
        <v>1</v>
      </c>
      <c r="F419" s="1" t="s">
        <v>145</v>
      </c>
      <c r="G419" s="1">
        <v>115</v>
      </c>
      <c r="H419" s="1">
        <v>14</v>
      </c>
      <c r="J419" s="1" t="s">
        <v>169</v>
      </c>
    </row>
    <row r="420" spans="1:10">
      <c r="A420" s="1" t="s">
        <v>90</v>
      </c>
      <c r="B420" s="4">
        <v>40751</v>
      </c>
      <c r="C420" s="1" t="s">
        <v>168</v>
      </c>
      <c r="D420" s="1" t="s">
        <v>147</v>
      </c>
      <c r="E420" s="1">
        <v>1</v>
      </c>
      <c r="F420" s="1" t="s">
        <v>145</v>
      </c>
      <c r="G420" s="1">
        <v>106</v>
      </c>
      <c r="H420" s="1">
        <v>10</v>
      </c>
    </row>
    <row r="421" spans="1:10">
      <c r="A421" s="1" t="s">
        <v>90</v>
      </c>
      <c r="B421" s="4">
        <v>40751</v>
      </c>
      <c r="C421" s="1" t="s">
        <v>168</v>
      </c>
      <c r="D421" s="1" t="s">
        <v>147</v>
      </c>
      <c r="E421" s="1">
        <v>1</v>
      </c>
      <c r="F421" s="1" t="s">
        <v>145</v>
      </c>
      <c r="G421" s="1">
        <v>66</v>
      </c>
      <c r="H421" s="1">
        <v>3</v>
      </c>
    </row>
    <row r="422" spans="1:10">
      <c r="A422" s="1" t="s">
        <v>90</v>
      </c>
      <c r="B422" s="4">
        <v>40751</v>
      </c>
      <c r="C422" s="1" t="s">
        <v>168</v>
      </c>
      <c r="D422" s="1" t="s">
        <v>147</v>
      </c>
      <c r="E422" s="1">
        <v>1</v>
      </c>
      <c r="F422" s="1" t="s">
        <v>145</v>
      </c>
      <c r="G422" s="1">
        <v>70</v>
      </c>
      <c r="H422" s="1">
        <v>4</v>
      </c>
    </row>
    <row r="423" spans="1:10">
      <c r="A423" s="1" t="s">
        <v>90</v>
      </c>
      <c r="B423" s="4">
        <v>40751</v>
      </c>
      <c r="C423" s="1" t="s">
        <v>168</v>
      </c>
      <c r="D423" s="1" t="s">
        <v>147</v>
      </c>
      <c r="E423" s="1">
        <v>1</v>
      </c>
      <c r="F423" s="1" t="s">
        <v>145</v>
      </c>
      <c r="G423" s="1">
        <v>61</v>
      </c>
      <c r="H423" s="1">
        <v>2</v>
      </c>
    </row>
    <row r="424" spans="1:10">
      <c r="A424" s="1" t="s">
        <v>90</v>
      </c>
      <c r="B424" s="4">
        <v>40751</v>
      </c>
      <c r="C424" s="1" t="s">
        <v>168</v>
      </c>
      <c r="D424" s="1" t="s">
        <v>147</v>
      </c>
      <c r="E424" s="1">
        <v>2</v>
      </c>
      <c r="F424" s="1" t="s">
        <v>145</v>
      </c>
      <c r="G424" s="1">
        <v>120</v>
      </c>
      <c r="H424" s="1">
        <v>16</v>
      </c>
    </row>
    <row r="425" spans="1:10">
      <c r="A425" s="1" t="s">
        <v>90</v>
      </c>
      <c r="B425" s="4">
        <v>40751</v>
      </c>
      <c r="C425" s="1" t="s">
        <v>168</v>
      </c>
      <c r="D425" s="1" t="s">
        <v>150</v>
      </c>
      <c r="E425" s="1">
        <v>1</v>
      </c>
      <c r="F425" s="1" t="s">
        <v>145</v>
      </c>
      <c r="G425" s="1">
        <v>71</v>
      </c>
      <c r="H425" s="1">
        <v>3</v>
      </c>
      <c r="J425" s="1" t="s">
        <v>170</v>
      </c>
    </row>
    <row r="426" spans="1:10">
      <c r="A426" s="1" t="s">
        <v>71</v>
      </c>
      <c r="B426" s="4">
        <v>40730</v>
      </c>
      <c r="C426" s="1" t="s">
        <v>171</v>
      </c>
      <c r="D426" s="1" t="s">
        <v>141</v>
      </c>
      <c r="E426" s="1">
        <v>1</v>
      </c>
      <c r="F426" s="1" t="s">
        <v>142</v>
      </c>
      <c r="G426" s="1">
        <v>27</v>
      </c>
    </row>
    <row r="427" spans="1:10">
      <c r="A427" s="1" t="s">
        <v>71</v>
      </c>
      <c r="B427" s="4">
        <v>40730</v>
      </c>
      <c r="C427" s="1" t="s">
        <v>171</v>
      </c>
      <c r="D427" s="1" t="s">
        <v>141</v>
      </c>
      <c r="E427" s="1">
        <v>1</v>
      </c>
      <c r="F427" s="1" t="s">
        <v>142</v>
      </c>
      <c r="G427" s="1">
        <v>31</v>
      </c>
    </row>
    <row r="428" spans="1:10">
      <c r="A428" s="1" t="s">
        <v>71</v>
      </c>
      <c r="B428" s="4">
        <v>40730</v>
      </c>
      <c r="C428" s="1" t="s">
        <v>171</v>
      </c>
      <c r="D428" s="1" t="s">
        <v>141</v>
      </c>
      <c r="E428" s="1">
        <v>1</v>
      </c>
      <c r="F428" s="1" t="s">
        <v>142</v>
      </c>
      <c r="G428" s="1">
        <v>33</v>
      </c>
    </row>
    <row r="429" spans="1:10">
      <c r="A429" s="1" t="s">
        <v>71</v>
      </c>
      <c r="B429" s="4">
        <v>40730</v>
      </c>
      <c r="C429" s="1" t="s">
        <v>171</v>
      </c>
      <c r="D429" s="1" t="s">
        <v>141</v>
      </c>
      <c r="E429" s="1">
        <v>1</v>
      </c>
      <c r="F429" s="1" t="s">
        <v>142</v>
      </c>
      <c r="G429" s="1">
        <v>33</v>
      </c>
    </row>
    <row r="430" spans="1:10">
      <c r="A430" s="1" t="s">
        <v>71</v>
      </c>
      <c r="B430" s="4">
        <v>40730</v>
      </c>
      <c r="C430" s="1" t="s">
        <v>171</v>
      </c>
      <c r="D430" s="1" t="s">
        <v>141</v>
      </c>
      <c r="E430" s="1">
        <v>1</v>
      </c>
      <c r="F430" s="1" t="s">
        <v>142</v>
      </c>
      <c r="G430" s="1">
        <v>32</v>
      </c>
    </row>
    <row r="431" spans="1:10">
      <c r="A431" s="1" t="s">
        <v>71</v>
      </c>
      <c r="B431" s="4">
        <v>40730</v>
      </c>
      <c r="C431" s="1" t="s">
        <v>171</v>
      </c>
      <c r="D431" s="1" t="s">
        <v>141</v>
      </c>
      <c r="E431" s="1">
        <v>1</v>
      </c>
      <c r="F431" s="1" t="s">
        <v>142</v>
      </c>
      <c r="G431" s="1">
        <v>29</v>
      </c>
    </row>
    <row r="432" spans="1:10">
      <c r="A432" s="1" t="s">
        <v>71</v>
      </c>
      <c r="B432" s="4">
        <v>40730</v>
      </c>
      <c r="C432" s="1" t="s">
        <v>171</v>
      </c>
      <c r="D432" s="1" t="s">
        <v>141</v>
      </c>
      <c r="E432" s="1">
        <v>1</v>
      </c>
      <c r="F432" s="1" t="s">
        <v>142</v>
      </c>
      <c r="G432" s="1">
        <v>27</v>
      </c>
    </row>
    <row r="433" spans="1:8">
      <c r="A433" s="1" t="s">
        <v>71</v>
      </c>
      <c r="B433" s="4">
        <v>40730</v>
      </c>
      <c r="C433" s="1" t="s">
        <v>171</v>
      </c>
      <c r="D433" s="1" t="s">
        <v>141</v>
      </c>
      <c r="E433" s="1">
        <v>1</v>
      </c>
      <c r="F433" s="1" t="s">
        <v>142</v>
      </c>
      <c r="G433" s="1">
        <v>30</v>
      </c>
    </row>
    <row r="434" spans="1:8">
      <c r="A434" s="1" t="s">
        <v>71</v>
      </c>
      <c r="B434" s="4">
        <v>40730</v>
      </c>
      <c r="C434" s="1" t="s">
        <v>171</v>
      </c>
      <c r="D434" s="1" t="s">
        <v>141</v>
      </c>
      <c r="E434" s="1">
        <v>1</v>
      </c>
      <c r="F434" s="1" t="s">
        <v>142</v>
      </c>
      <c r="G434" s="1">
        <v>28</v>
      </c>
    </row>
    <row r="435" spans="1:8">
      <c r="A435" s="1" t="s">
        <v>71</v>
      </c>
      <c r="B435" s="4">
        <v>40730</v>
      </c>
      <c r="C435" s="1" t="s">
        <v>171</v>
      </c>
      <c r="D435" s="1" t="s">
        <v>141</v>
      </c>
      <c r="E435" s="1">
        <v>1</v>
      </c>
      <c r="F435" s="1" t="s">
        <v>145</v>
      </c>
      <c r="G435" s="1">
        <v>99</v>
      </c>
    </row>
    <row r="436" spans="1:8">
      <c r="A436" s="1" t="s">
        <v>71</v>
      </c>
      <c r="B436" s="4">
        <v>40730</v>
      </c>
      <c r="C436" s="1" t="s">
        <v>171</v>
      </c>
      <c r="D436" s="1" t="s">
        <v>141</v>
      </c>
      <c r="E436" s="1">
        <v>1</v>
      </c>
      <c r="F436" s="1" t="s">
        <v>145</v>
      </c>
      <c r="G436" s="1">
        <v>90</v>
      </c>
    </row>
    <row r="437" spans="1:8">
      <c r="A437" s="1" t="s">
        <v>71</v>
      </c>
      <c r="B437" s="4">
        <v>40730</v>
      </c>
      <c r="C437" s="1" t="s">
        <v>171</v>
      </c>
      <c r="D437" s="1" t="s">
        <v>141</v>
      </c>
      <c r="E437" s="1">
        <v>1</v>
      </c>
      <c r="F437" s="1" t="s">
        <v>145</v>
      </c>
      <c r="G437" s="1">
        <v>66</v>
      </c>
    </row>
    <row r="438" spans="1:8">
      <c r="A438" s="1" t="s">
        <v>71</v>
      </c>
      <c r="B438" s="4">
        <v>40730</v>
      </c>
      <c r="C438" s="1" t="s">
        <v>171</v>
      </c>
      <c r="D438" s="1" t="s">
        <v>141</v>
      </c>
      <c r="E438" s="1">
        <v>1</v>
      </c>
      <c r="F438" s="1" t="s">
        <v>145</v>
      </c>
      <c r="G438" s="1">
        <v>89</v>
      </c>
      <c r="H438" s="1">
        <v>7.2</v>
      </c>
    </row>
    <row r="439" spans="1:8">
      <c r="A439" s="1" t="s">
        <v>71</v>
      </c>
      <c r="B439" s="4">
        <v>40730</v>
      </c>
      <c r="C439" s="1" t="s">
        <v>171</v>
      </c>
      <c r="D439" s="1" t="s">
        <v>141</v>
      </c>
      <c r="E439" s="1">
        <v>1</v>
      </c>
      <c r="F439" s="1" t="s">
        <v>145</v>
      </c>
      <c r="G439" s="1">
        <v>88</v>
      </c>
      <c r="H439" s="1">
        <v>6.3</v>
      </c>
    </row>
    <row r="440" spans="1:8">
      <c r="A440" s="1" t="s">
        <v>71</v>
      </c>
      <c r="B440" s="4">
        <v>40730</v>
      </c>
      <c r="C440" s="1" t="s">
        <v>171</v>
      </c>
      <c r="D440" s="1" t="s">
        <v>141</v>
      </c>
      <c r="E440" s="1">
        <v>1</v>
      </c>
      <c r="F440" s="1" t="s">
        <v>145</v>
      </c>
      <c r="G440" s="1">
        <v>29</v>
      </c>
    </row>
    <row r="441" spans="1:8">
      <c r="A441" s="1" t="s">
        <v>71</v>
      </c>
      <c r="B441" s="4">
        <v>40730</v>
      </c>
      <c r="C441" s="1" t="s">
        <v>171</v>
      </c>
      <c r="D441" s="1" t="s">
        <v>141</v>
      </c>
      <c r="E441" s="1">
        <v>1</v>
      </c>
      <c r="F441" s="1" t="s">
        <v>145</v>
      </c>
      <c r="G441" s="1">
        <v>44</v>
      </c>
      <c r="H441" s="1">
        <v>0.2</v>
      </c>
    </row>
    <row r="442" spans="1:8">
      <c r="A442" s="1" t="s">
        <v>71</v>
      </c>
      <c r="B442" s="4">
        <v>40730</v>
      </c>
      <c r="C442" s="1" t="s">
        <v>171</v>
      </c>
      <c r="D442" s="1" t="s">
        <v>141</v>
      </c>
      <c r="E442" s="1">
        <v>1</v>
      </c>
      <c r="F442" s="1" t="s">
        <v>145</v>
      </c>
      <c r="G442" s="1">
        <v>83</v>
      </c>
      <c r="H442" s="1">
        <v>7.6</v>
      </c>
    </row>
    <row r="443" spans="1:8">
      <c r="A443" s="1" t="s">
        <v>71</v>
      </c>
      <c r="B443" s="4">
        <v>40730</v>
      </c>
      <c r="C443" s="1" t="s">
        <v>171</v>
      </c>
      <c r="D443" s="1" t="s">
        <v>141</v>
      </c>
      <c r="E443" s="1">
        <v>1</v>
      </c>
      <c r="F443" s="1" t="s">
        <v>145</v>
      </c>
      <c r="G443" s="1">
        <v>46</v>
      </c>
      <c r="H443" s="1">
        <v>0.5</v>
      </c>
    </row>
    <row r="444" spans="1:8">
      <c r="A444" s="1" t="s">
        <v>71</v>
      </c>
      <c r="B444" s="4">
        <v>40730</v>
      </c>
      <c r="C444" s="1" t="s">
        <v>171</v>
      </c>
      <c r="D444" s="1" t="s">
        <v>141</v>
      </c>
      <c r="E444" s="1">
        <v>1</v>
      </c>
      <c r="F444" s="1" t="s">
        <v>145</v>
      </c>
      <c r="G444" s="1">
        <v>66</v>
      </c>
      <c r="H444" s="1">
        <v>3.3</v>
      </c>
    </row>
    <row r="445" spans="1:8">
      <c r="A445" s="1" t="s">
        <v>71</v>
      </c>
      <c r="B445" s="4">
        <v>40730</v>
      </c>
      <c r="C445" s="1" t="s">
        <v>171</v>
      </c>
      <c r="D445" s="1" t="s">
        <v>141</v>
      </c>
      <c r="E445" s="1">
        <v>1</v>
      </c>
      <c r="F445" s="1" t="s">
        <v>145</v>
      </c>
      <c r="G445" s="1">
        <v>72</v>
      </c>
      <c r="H445" s="1">
        <v>4</v>
      </c>
    </row>
    <row r="446" spans="1:8">
      <c r="A446" s="1" t="s">
        <v>71</v>
      </c>
      <c r="B446" s="4">
        <v>40730</v>
      </c>
      <c r="C446" s="1" t="s">
        <v>171</v>
      </c>
      <c r="D446" s="1" t="s">
        <v>141</v>
      </c>
      <c r="E446" s="1">
        <v>1</v>
      </c>
      <c r="F446" s="1" t="s">
        <v>145</v>
      </c>
      <c r="G446" s="1">
        <v>75</v>
      </c>
      <c r="H446" s="1">
        <v>4.4000000000000004</v>
      </c>
    </row>
    <row r="447" spans="1:8">
      <c r="A447" s="1" t="s">
        <v>71</v>
      </c>
      <c r="B447" s="4">
        <v>40730</v>
      </c>
      <c r="C447" s="1" t="s">
        <v>171</v>
      </c>
      <c r="D447" s="1" t="s">
        <v>141</v>
      </c>
      <c r="E447" s="1">
        <v>1</v>
      </c>
      <c r="F447" s="1" t="s">
        <v>145</v>
      </c>
      <c r="G447" s="1">
        <v>73</v>
      </c>
      <c r="H447" s="1">
        <v>3.7</v>
      </c>
    </row>
    <row r="448" spans="1:8">
      <c r="A448" s="1" t="s">
        <v>71</v>
      </c>
      <c r="B448" s="4">
        <v>40730</v>
      </c>
      <c r="C448" s="1" t="s">
        <v>171</v>
      </c>
      <c r="D448" s="1" t="s">
        <v>141</v>
      </c>
      <c r="E448" s="1">
        <v>1</v>
      </c>
      <c r="F448" s="1" t="s">
        <v>145</v>
      </c>
      <c r="G448" s="1">
        <v>95</v>
      </c>
      <c r="H448" s="1">
        <v>9.6999999999999993</v>
      </c>
    </row>
    <row r="449" spans="1:10">
      <c r="A449" s="1" t="s">
        <v>71</v>
      </c>
      <c r="B449" s="4">
        <v>40730</v>
      </c>
      <c r="C449" s="1" t="s">
        <v>171</v>
      </c>
      <c r="D449" s="1" t="s">
        <v>141</v>
      </c>
      <c r="E449" s="1">
        <v>1</v>
      </c>
      <c r="F449" s="1" t="s">
        <v>145</v>
      </c>
      <c r="G449" s="1">
        <v>44</v>
      </c>
      <c r="H449" s="1">
        <v>0.7</v>
      </c>
    </row>
    <row r="450" spans="1:10">
      <c r="A450" s="1" t="s">
        <v>71</v>
      </c>
      <c r="B450" s="4">
        <v>40730</v>
      </c>
      <c r="C450" s="1" t="s">
        <v>171</v>
      </c>
      <c r="D450" s="1" t="s">
        <v>141</v>
      </c>
      <c r="E450" s="1">
        <v>1</v>
      </c>
      <c r="F450" s="1" t="s">
        <v>145</v>
      </c>
      <c r="G450" s="1">
        <v>69</v>
      </c>
      <c r="H450" s="1">
        <v>2.7</v>
      </c>
    </row>
    <row r="451" spans="1:10">
      <c r="A451" s="1" t="s">
        <v>71</v>
      </c>
      <c r="B451" s="4">
        <v>40730</v>
      </c>
      <c r="C451" s="1" t="s">
        <v>171</v>
      </c>
      <c r="D451" s="1" t="s">
        <v>141</v>
      </c>
      <c r="E451" s="1">
        <v>1</v>
      </c>
      <c r="F451" s="1" t="s">
        <v>179</v>
      </c>
      <c r="G451" s="1">
        <v>92</v>
      </c>
      <c r="H451" s="1">
        <v>10</v>
      </c>
    </row>
    <row r="452" spans="1:10">
      <c r="A452" s="1" t="s">
        <v>71</v>
      </c>
      <c r="B452" s="4">
        <v>40730</v>
      </c>
      <c r="C452" s="1" t="s">
        <v>171</v>
      </c>
      <c r="D452" s="1" t="s">
        <v>147</v>
      </c>
      <c r="E452" s="1">
        <v>1</v>
      </c>
      <c r="F452" s="1" t="s">
        <v>142</v>
      </c>
      <c r="G452" s="1">
        <v>32</v>
      </c>
      <c r="J452" s="1" t="s">
        <v>172</v>
      </c>
    </row>
    <row r="453" spans="1:10">
      <c r="A453" s="1" t="s">
        <v>71</v>
      </c>
      <c r="B453" s="4">
        <v>40730</v>
      </c>
      <c r="C453" s="1" t="s">
        <v>171</v>
      </c>
      <c r="D453" s="1" t="s">
        <v>147</v>
      </c>
      <c r="E453" s="1">
        <v>1</v>
      </c>
      <c r="F453" s="1" t="s">
        <v>142</v>
      </c>
      <c r="G453" s="1">
        <v>30</v>
      </c>
    </row>
    <row r="454" spans="1:10">
      <c r="A454" s="1" t="s">
        <v>71</v>
      </c>
      <c r="B454" s="4">
        <v>40730</v>
      </c>
      <c r="C454" s="1" t="s">
        <v>171</v>
      </c>
      <c r="D454" s="1" t="s">
        <v>147</v>
      </c>
      <c r="E454" s="1">
        <v>1</v>
      </c>
      <c r="F454" s="1" t="s">
        <v>142</v>
      </c>
      <c r="G454" s="1">
        <v>32</v>
      </c>
    </row>
    <row r="455" spans="1:10">
      <c r="A455" s="1" t="s">
        <v>71</v>
      </c>
      <c r="B455" s="4">
        <v>40730</v>
      </c>
      <c r="C455" s="1" t="s">
        <v>171</v>
      </c>
      <c r="D455" s="1" t="s">
        <v>147</v>
      </c>
      <c r="E455" s="1">
        <v>1</v>
      </c>
      <c r="F455" s="1" t="s">
        <v>142</v>
      </c>
      <c r="G455" s="1">
        <v>32</v>
      </c>
    </row>
    <row r="456" spans="1:10">
      <c r="A456" s="1" t="s">
        <v>71</v>
      </c>
      <c r="B456" s="4">
        <v>40730</v>
      </c>
      <c r="C456" s="1" t="s">
        <v>171</v>
      </c>
      <c r="D456" s="1" t="s">
        <v>147</v>
      </c>
      <c r="E456" s="1">
        <v>1</v>
      </c>
      <c r="F456" s="1" t="s">
        <v>142</v>
      </c>
      <c r="G456" s="1">
        <v>31</v>
      </c>
    </row>
    <row r="457" spans="1:10">
      <c r="A457" s="1" t="s">
        <v>71</v>
      </c>
      <c r="B457" s="4">
        <v>40730</v>
      </c>
      <c r="C457" s="1" t="s">
        <v>171</v>
      </c>
      <c r="D457" s="1" t="s">
        <v>147</v>
      </c>
      <c r="E457" s="1">
        <v>1</v>
      </c>
      <c r="F457" s="1" t="s">
        <v>142</v>
      </c>
      <c r="G457" s="1">
        <v>32</v>
      </c>
    </row>
    <row r="458" spans="1:10">
      <c r="A458" s="1" t="s">
        <v>71</v>
      </c>
      <c r="B458" s="4">
        <v>40730</v>
      </c>
      <c r="C458" s="1" t="s">
        <v>171</v>
      </c>
      <c r="D458" s="1" t="s">
        <v>147</v>
      </c>
      <c r="E458" s="1">
        <v>1</v>
      </c>
      <c r="F458" s="1" t="s">
        <v>142</v>
      </c>
      <c r="G458" s="1">
        <v>30</v>
      </c>
    </row>
    <row r="459" spans="1:10">
      <c r="A459" s="1" t="s">
        <v>71</v>
      </c>
      <c r="B459" s="4">
        <v>40730</v>
      </c>
      <c r="C459" s="1" t="s">
        <v>171</v>
      </c>
      <c r="D459" s="1" t="s">
        <v>147</v>
      </c>
      <c r="E459" s="1">
        <v>1</v>
      </c>
      <c r="F459" s="1" t="s">
        <v>142</v>
      </c>
      <c r="G459" s="1">
        <v>33</v>
      </c>
    </row>
    <row r="460" spans="1:10">
      <c r="A460" s="1" t="s">
        <v>71</v>
      </c>
      <c r="B460" s="4">
        <v>40730</v>
      </c>
      <c r="C460" s="1" t="s">
        <v>171</v>
      </c>
      <c r="D460" s="1" t="s">
        <v>147</v>
      </c>
      <c r="E460" s="1">
        <v>1</v>
      </c>
      <c r="F460" s="1" t="s">
        <v>142</v>
      </c>
      <c r="G460" s="1">
        <v>32</v>
      </c>
    </row>
    <row r="461" spans="1:10">
      <c r="A461" s="1" t="s">
        <v>71</v>
      </c>
      <c r="B461" s="4">
        <v>40730</v>
      </c>
      <c r="C461" s="1" t="s">
        <v>171</v>
      </c>
      <c r="D461" s="1" t="s">
        <v>147</v>
      </c>
      <c r="E461" s="1">
        <v>1</v>
      </c>
      <c r="F461" s="1" t="s">
        <v>142</v>
      </c>
      <c r="G461" s="1">
        <v>32</v>
      </c>
    </row>
    <row r="462" spans="1:10">
      <c r="A462" s="1" t="s">
        <v>71</v>
      </c>
      <c r="B462" s="4">
        <v>40730</v>
      </c>
      <c r="C462" s="1" t="s">
        <v>171</v>
      </c>
      <c r="D462" s="1" t="s">
        <v>147</v>
      </c>
      <c r="E462" s="1">
        <v>1</v>
      </c>
      <c r="F462" s="1" t="s">
        <v>145</v>
      </c>
      <c r="G462" s="1">
        <v>80</v>
      </c>
      <c r="H462" s="1">
        <v>6.3</v>
      </c>
    </row>
    <row r="463" spans="1:10">
      <c r="A463" s="1" t="s">
        <v>71</v>
      </c>
      <c r="B463" s="4">
        <v>40730</v>
      </c>
      <c r="C463" s="1" t="s">
        <v>171</v>
      </c>
      <c r="D463" s="1" t="s">
        <v>147</v>
      </c>
      <c r="E463" s="1">
        <v>1</v>
      </c>
      <c r="F463" s="1" t="s">
        <v>145</v>
      </c>
      <c r="G463" s="1">
        <v>107</v>
      </c>
    </row>
    <row r="464" spans="1:10">
      <c r="A464" s="1" t="s">
        <v>71</v>
      </c>
      <c r="B464" s="4">
        <v>40730</v>
      </c>
      <c r="C464" s="1" t="s">
        <v>171</v>
      </c>
      <c r="D464" s="1" t="s">
        <v>147</v>
      </c>
      <c r="E464" s="1">
        <v>1</v>
      </c>
      <c r="F464" s="1" t="s">
        <v>145</v>
      </c>
      <c r="G464" s="1">
        <v>101</v>
      </c>
    </row>
    <row r="465" spans="1:8">
      <c r="A465" s="1" t="s">
        <v>71</v>
      </c>
      <c r="B465" s="4">
        <v>40730</v>
      </c>
      <c r="C465" s="1" t="s">
        <v>171</v>
      </c>
      <c r="D465" s="1" t="s">
        <v>147</v>
      </c>
      <c r="E465" s="1">
        <v>1</v>
      </c>
      <c r="F465" s="1" t="s">
        <v>145</v>
      </c>
      <c r="G465" s="1">
        <v>99</v>
      </c>
    </row>
    <row r="466" spans="1:8">
      <c r="A466" s="1" t="s">
        <v>71</v>
      </c>
      <c r="B466" s="4">
        <v>40730</v>
      </c>
      <c r="C466" s="1" t="s">
        <v>171</v>
      </c>
      <c r="D466" s="1" t="s">
        <v>147</v>
      </c>
      <c r="E466" s="1">
        <v>1</v>
      </c>
      <c r="F466" s="1" t="s">
        <v>145</v>
      </c>
      <c r="G466" s="1">
        <v>50</v>
      </c>
      <c r="H466" s="1">
        <v>1.5</v>
      </c>
    </row>
    <row r="467" spans="1:8">
      <c r="A467" s="1" t="s">
        <v>71</v>
      </c>
      <c r="B467" s="4">
        <v>40730</v>
      </c>
      <c r="C467" s="1" t="s">
        <v>171</v>
      </c>
      <c r="D467" s="1" t="s">
        <v>147</v>
      </c>
      <c r="E467" s="1">
        <v>1</v>
      </c>
      <c r="F467" s="1" t="s">
        <v>145</v>
      </c>
      <c r="G467" s="1">
        <v>46</v>
      </c>
      <c r="H467" s="1">
        <v>0.9</v>
      </c>
    </row>
    <row r="468" spans="1:8">
      <c r="A468" s="1" t="s">
        <v>71</v>
      </c>
      <c r="B468" s="4">
        <v>40730</v>
      </c>
      <c r="C468" s="1" t="s">
        <v>171</v>
      </c>
      <c r="D468" s="1" t="s">
        <v>147</v>
      </c>
      <c r="E468" s="1">
        <v>1</v>
      </c>
      <c r="F468" s="1" t="s">
        <v>145</v>
      </c>
      <c r="G468" s="1">
        <v>35</v>
      </c>
    </row>
    <row r="469" spans="1:8">
      <c r="A469" s="1" t="s">
        <v>71</v>
      </c>
      <c r="B469" s="4">
        <v>40730</v>
      </c>
      <c r="C469" s="1" t="s">
        <v>171</v>
      </c>
      <c r="D469" s="1" t="s">
        <v>147</v>
      </c>
      <c r="E469" s="1">
        <v>1</v>
      </c>
      <c r="F469" s="1" t="s">
        <v>145</v>
      </c>
      <c r="G469" s="1">
        <v>82</v>
      </c>
      <c r="H469" s="1">
        <v>7</v>
      </c>
    </row>
    <row r="470" spans="1:8">
      <c r="A470" s="1" t="s">
        <v>71</v>
      </c>
      <c r="B470" s="4">
        <v>40730</v>
      </c>
      <c r="C470" s="1" t="s">
        <v>171</v>
      </c>
      <c r="D470" s="1" t="s">
        <v>147</v>
      </c>
      <c r="E470" s="1">
        <v>1</v>
      </c>
      <c r="F470" s="1" t="s">
        <v>145</v>
      </c>
      <c r="G470" s="1">
        <v>25</v>
      </c>
    </row>
    <row r="471" spans="1:8">
      <c r="A471" s="1" t="s">
        <v>71</v>
      </c>
      <c r="B471" s="4">
        <v>40730</v>
      </c>
      <c r="C471" s="1" t="s">
        <v>171</v>
      </c>
      <c r="D471" s="1" t="s">
        <v>147</v>
      </c>
      <c r="E471" s="1">
        <v>1</v>
      </c>
      <c r="F471" s="1" t="s">
        <v>145</v>
      </c>
      <c r="G471" s="1">
        <v>45</v>
      </c>
      <c r="H471" s="1">
        <v>1.2</v>
      </c>
    </row>
    <row r="472" spans="1:8">
      <c r="A472" s="1" t="s">
        <v>71</v>
      </c>
      <c r="B472" s="4">
        <v>40730</v>
      </c>
      <c r="C472" s="1" t="s">
        <v>171</v>
      </c>
      <c r="D472" s="1" t="s">
        <v>147</v>
      </c>
      <c r="E472" s="1">
        <v>1</v>
      </c>
      <c r="F472" s="1" t="s">
        <v>145</v>
      </c>
      <c r="G472" s="1">
        <v>21</v>
      </c>
    </row>
    <row r="473" spans="1:8">
      <c r="A473" s="1" t="s">
        <v>71</v>
      </c>
      <c r="B473" s="4">
        <v>40730</v>
      </c>
      <c r="C473" s="1" t="s">
        <v>171</v>
      </c>
      <c r="D473" s="1" t="s">
        <v>147</v>
      </c>
      <c r="E473" s="1">
        <v>1</v>
      </c>
      <c r="F473" s="1" t="s">
        <v>145</v>
      </c>
      <c r="G473" s="1">
        <v>27</v>
      </c>
    </row>
    <row r="474" spans="1:8">
      <c r="A474" s="1" t="s">
        <v>71</v>
      </c>
      <c r="B474" s="4">
        <v>40730</v>
      </c>
      <c r="C474" s="1" t="s">
        <v>171</v>
      </c>
      <c r="D474" s="1" t="s">
        <v>147</v>
      </c>
      <c r="E474" s="1">
        <v>1</v>
      </c>
      <c r="F474" s="1" t="s">
        <v>145</v>
      </c>
      <c r="G474" s="1">
        <v>25</v>
      </c>
    </row>
    <row r="475" spans="1:8">
      <c r="A475" s="1" t="s">
        <v>71</v>
      </c>
      <c r="B475" s="4">
        <v>40730</v>
      </c>
      <c r="C475" s="1" t="s">
        <v>171</v>
      </c>
      <c r="D475" s="1" t="s">
        <v>147</v>
      </c>
      <c r="E475" s="1">
        <v>1</v>
      </c>
      <c r="F475" s="1" t="s">
        <v>179</v>
      </c>
      <c r="G475" s="1">
        <v>99</v>
      </c>
    </row>
    <row r="476" spans="1:8">
      <c r="A476" s="1" t="s">
        <v>71</v>
      </c>
      <c r="B476" s="4">
        <v>40730</v>
      </c>
      <c r="C476" s="1" t="s">
        <v>171</v>
      </c>
      <c r="D476" s="1" t="s">
        <v>147</v>
      </c>
      <c r="E476" s="1">
        <v>1</v>
      </c>
      <c r="F476" s="1" t="s">
        <v>179</v>
      </c>
      <c r="G476" s="1">
        <v>91</v>
      </c>
      <c r="H476" s="1">
        <v>9.6999999999999993</v>
      </c>
    </row>
    <row r="477" spans="1:8">
      <c r="A477" s="1" t="s">
        <v>71</v>
      </c>
      <c r="B477" s="4">
        <v>40730</v>
      </c>
      <c r="C477" s="1" t="s">
        <v>171</v>
      </c>
      <c r="D477" s="1" t="s">
        <v>147</v>
      </c>
      <c r="E477" s="1">
        <v>1</v>
      </c>
      <c r="F477" s="1" t="s">
        <v>179</v>
      </c>
      <c r="G477" s="1">
        <v>90</v>
      </c>
      <c r="H477" s="1">
        <v>7.4</v>
      </c>
    </row>
    <row r="478" spans="1:8">
      <c r="A478" s="1" t="s">
        <v>71</v>
      </c>
      <c r="B478" s="4">
        <v>40730</v>
      </c>
      <c r="C478" s="1" t="s">
        <v>171</v>
      </c>
      <c r="D478" s="1" t="s">
        <v>150</v>
      </c>
      <c r="E478" s="1">
        <v>1</v>
      </c>
      <c r="F478" s="1" t="s">
        <v>145</v>
      </c>
      <c r="G478" s="1">
        <v>39</v>
      </c>
      <c r="H478" s="1">
        <v>0.6</v>
      </c>
    </row>
    <row r="479" spans="1:8">
      <c r="A479" s="1" t="s">
        <v>71</v>
      </c>
      <c r="B479" s="4">
        <v>40730</v>
      </c>
      <c r="C479" s="1" t="s">
        <v>171</v>
      </c>
      <c r="D479" s="1" t="s">
        <v>150</v>
      </c>
      <c r="E479" s="1">
        <v>1</v>
      </c>
      <c r="F479" s="1" t="s">
        <v>145</v>
      </c>
      <c r="G479" s="1">
        <v>106</v>
      </c>
    </row>
    <row r="480" spans="1:8">
      <c r="A480" s="1" t="s">
        <v>71</v>
      </c>
      <c r="B480" s="4">
        <v>40730</v>
      </c>
      <c r="C480" s="1" t="s">
        <v>171</v>
      </c>
      <c r="D480" s="1" t="s">
        <v>150</v>
      </c>
      <c r="E480" s="1">
        <v>1</v>
      </c>
      <c r="F480" s="1" t="s">
        <v>145</v>
      </c>
      <c r="G480" s="1">
        <v>86</v>
      </c>
      <c r="H480" s="1">
        <v>6.4</v>
      </c>
    </row>
    <row r="481" spans="1:9">
      <c r="A481" s="1" t="s">
        <v>71</v>
      </c>
      <c r="B481" s="4">
        <v>40730</v>
      </c>
      <c r="C481" s="1" t="s">
        <v>171</v>
      </c>
      <c r="D481" s="1" t="s">
        <v>150</v>
      </c>
      <c r="E481" s="1">
        <v>1</v>
      </c>
      <c r="F481" s="1" t="s">
        <v>145</v>
      </c>
      <c r="G481" s="1">
        <v>75</v>
      </c>
      <c r="H481" s="1">
        <v>4</v>
      </c>
    </row>
    <row r="482" spans="1:9">
      <c r="A482" s="1" t="s">
        <v>71</v>
      </c>
      <c r="B482" s="4">
        <v>40730</v>
      </c>
      <c r="C482" s="1" t="s">
        <v>171</v>
      </c>
      <c r="D482" s="1" t="s">
        <v>150</v>
      </c>
      <c r="E482" s="1">
        <v>1</v>
      </c>
      <c r="F482" s="1" t="s">
        <v>145</v>
      </c>
      <c r="G482" s="1">
        <v>66</v>
      </c>
    </row>
    <row r="483" spans="1:9">
      <c r="A483" s="1" t="s">
        <v>71</v>
      </c>
      <c r="B483" s="4">
        <v>40730</v>
      </c>
      <c r="C483" s="1" t="s">
        <v>171</v>
      </c>
      <c r="D483" s="1" t="s">
        <v>150</v>
      </c>
      <c r="E483" s="1">
        <v>1</v>
      </c>
      <c r="F483" s="1" t="s">
        <v>145</v>
      </c>
      <c r="G483" s="1">
        <v>66</v>
      </c>
      <c r="H483" s="1">
        <v>3.2</v>
      </c>
    </row>
    <row r="484" spans="1:9">
      <c r="A484" s="1" t="s">
        <v>72</v>
      </c>
      <c r="B484" s="4">
        <v>40732</v>
      </c>
      <c r="C484" s="1" t="s">
        <v>173</v>
      </c>
      <c r="D484" s="1" t="s">
        <v>141</v>
      </c>
      <c r="E484" s="1">
        <v>1</v>
      </c>
      <c r="F484" s="1" t="s">
        <v>145</v>
      </c>
      <c r="G484" s="1">
        <v>65</v>
      </c>
      <c r="H484" s="1">
        <v>1.9</v>
      </c>
      <c r="I484" s="1" t="s">
        <v>174</v>
      </c>
    </row>
    <row r="485" spans="1:9">
      <c r="A485" s="1" t="s">
        <v>72</v>
      </c>
      <c r="B485" s="4">
        <v>40732</v>
      </c>
      <c r="C485" s="1" t="s">
        <v>173</v>
      </c>
      <c r="D485" s="1" t="s">
        <v>141</v>
      </c>
      <c r="E485" s="1">
        <v>1</v>
      </c>
      <c r="F485" s="1" t="s">
        <v>145</v>
      </c>
      <c r="G485" s="1">
        <v>65</v>
      </c>
      <c r="H485" s="1">
        <v>2.9</v>
      </c>
    </row>
    <row r="486" spans="1:9">
      <c r="A486" s="1" t="s">
        <v>72</v>
      </c>
      <c r="B486" s="4">
        <v>40732</v>
      </c>
      <c r="C486" s="1" t="s">
        <v>173</v>
      </c>
      <c r="D486" s="1" t="s">
        <v>141</v>
      </c>
      <c r="E486" s="1">
        <v>1</v>
      </c>
      <c r="F486" s="1" t="s">
        <v>145</v>
      </c>
      <c r="G486" s="1">
        <v>55</v>
      </c>
    </row>
    <row r="487" spans="1:9">
      <c r="A487" s="1" t="s">
        <v>72</v>
      </c>
      <c r="B487" s="4">
        <v>40732</v>
      </c>
      <c r="C487" s="1" t="s">
        <v>173</v>
      </c>
      <c r="D487" s="1" t="s">
        <v>141</v>
      </c>
      <c r="E487" s="1">
        <v>1</v>
      </c>
      <c r="F487" s="1" t="s">
        <v>145</v>
      </c>
      <c r="G487" s="1">
        <v>35</v>
      </c>
    </row>
    <row r="488" spans="1:9">
      <c r="A488" s="1" t="s">
        <v>72</v>
      </c>
      <c r="B488" s="4">
        <v>40732</v>
      </c>
      <c r="C488" s="1" t="s">
        <v>173</v>
      </c>
      <c r="D488" s="1" t="s">
        <v>141</v>
      </c>
      <c r="E488" s="1">
        <v>1</v>
      </c>
      <c r="F488" s="1" t="s">
        <v>145</v>
      </c>
      <c r="G488" s="1">
        <v>54</v>
      </c>
      <c r="H488" s="1">
        <v>1.9</v>
      </c>
    </row>
    <row r="489" spans="1:9">
      <c r="A489" s="1" t="s">
        <v>72</v>
      </c>
      <c r="B489" s="4">
        <v>40732</v>
      </c>
      <c r="C489" s="1" t="s">
        <v>173</v>
      </c>
      <c r="D489" s="1" t="s">
        <v>141</v>
      </c>
      <c r="E489" s="1">
        <v>1</v>
      </c>
      <c r="F489" s="1" t="s">
        <v>145</v>
      </c>
      <c r="G489" s="1">
        <v>54</v>
      </c>
    </row>
    <row r="490" spans="1:9">
      <c r="A490" s="1" t="s">
        <v>72</v>
      </c>
      <c r="B490" s="4">
        <v>40732</v>
      </c>
      <c r="C490" s="1" t="s">
        <v>173</v>
      </c>
      <c r="D490" s="1" t="s">
        <v>141</v>
      </c>
      <c r="E490" s="1">
        <v>1</v>
      </c>
      <c r="F490" s="1" t="s">
        <v>145</v>
      </c>
      <c r="G490" s="1">
        <v>52</v>
      </c>
      <c r="H490" s="1">
        <v>1.5</v>
      </c>
    </row>
    <row r="491" spans="1:9">
      <c r="A491" s="1" t="s">
        <v>72</v>
      </c>
      <c r="B491" s="4">
        <v>40732</v>
      </c>
      <c r="C491" s="1" t="s">
        <v>173</v>
      </c>
      <c r="D491" s="1" t="s">
        <v>141</v>
      </c>
      <c r="E491" s="1">
        <v>1</v>
      </c>
      <c r="F491" s="1" t="s">
        <v>145</v>
      </c>
      <c r="G491" s="1">
        <v>50</v>
      </c>
      <c r="H491" s="1">
        <v>1.2</v>
      </c>
    </row>
    <row r="492" spans="1:9">
      <c r="A492" s="1" t="s">
        <v>72</v>
      </c>
      <c r="B492" s="4">
        <v>40732</v>
      </c>
      <c r="C492" s="1" t="s">
        <v>173</v>
      </c>
      <c r="D492" s="1" t="s">
        <v>141</v>
      </c>
      <c r="E492" s="1">
        <v>1</v>
      </c>
      <c r="F492" s="1" t="s">
        <v>145</v>
      </c>
      <c r="G492" s="1">
        <v>52</v>
      </c>
      <c r="H492" s="1">
        <v>1.6</v>
      </c>
    </row>
    <row r="493" spans="1:9">
      <c r="A493" s="1" t="s">
        <v>72</v>
      </c>
      <c r="B493" s="4">
        <v>40732</v>
      </c>
      <c r="C493" s="1" t="s">
        <v>173</v>
      </c>
      <c r="D493" s="1" t="s">
        <v>141</v>
      </c>
      <c r="E493" s="1">
        <v>1</v>
      </c>
      <c r="F493" s="1" t="s">
        <v>145</v>
      </c>
      <c r="G493" s="1">
        <v>54</v>
      </c>
      <c r="H493" s="1">
        <v>1.3</v>
      </c>
    </row>
    <row r="494" spans="1:9">
      <c r="A494" s="1" t="s">
        <v>72</v>
      </c>
      <c r="B494" s="4">
        <v>40732</v>
      </c>
      <c r="C494" s="1" t="s">
        <v>173</v>
      </c>
      <c r="D494" s="1" t="s">
        <v>141</v>
      </c>
      <c r="E494" s="1">
        <v>1</v>
      </c>
      <c r="F494" s="1" t="s">
        <v>142</v>
      </c>
      <c r="G494" s="1">
        <v>75</v>
      </c>
      <c r="H494" s="1">
        <v>4.5</v>
      </c>
    </row>
    <row r="495" spans="1:9">
      <c r="A495" s="1" t="s">
        <v>72</v>
      </c>
      <c r="B495" s="4">
        <v>40732</v>
      </c>
      <c r="C495" s="1" t="s">
        <v>173</v>
      </c>
      <c r="D495" s="1" t="s">
        <v>141</v>
      </c>
      <c r="E495" s="1">
        <v>1</v>
      </c>
      <c r="F495" s="1" t="s">
        <v>142</v>
      </c>
      <c r="G495" s="1">
        <v>32</v>
      </c>
    </row>
    <row r="496" spans="1:9">
      <c r="A496" s="1" t="s">
        <v>72</v>
      </c>
      <c r="B496" s="4">
        <v>40732</v>
      </c>
      <c r="C496" s="1" t="s">
        <v>173</v>
      </c>
      <c r="D496" s="1" t="s">
        <v>141</v>
      </c>
      <c r="E496" s="1">
        <v>1</v>
      </c>
      <c r="F496" s="1" t="s">
        <v>142</v>
      </c>
      <c r="G496" s="1">
        <v>32</v>
      </c>
    </row>
    <row r="497" spans="1:8">
      <c r="A497" s="1" t="s">
        <v>72</v>
      </c>
      <c r="B497" s="4">
        <v>40732</v>
      </c>
      <c r="C497" s="1" t="s">
        <v>173</v>
      </c>
      <c r="D497" s="1" t="s">
        <v>141</v>
      </c>
      <c r="E497" s="1">
        <v>1</v>
      </c>
      <c r="F497" s="1" t="s">
        <v>142</v>
      </c>
      <c r="G497" s="1">
        <v>34</v>
      </c>
    </row>
    <row r="498" spans="1:8">
      <c r="A498" s="1" t="s">
        <v>72</v>
      </c>
      <c r="B498" s="4">
        <v>40732</v>
      </c>
      <c r="C498" s="1" t="s">
        <v>173</v>
      </c>
      <c r="D498" s="1" t="s">
        <v>141</v>
      </c>
      <c r="E498" s="1">
        <v>1</v>
      </c>
      <c r="F498" s="1" t="s">
        <v>142</v>
      </c>
      <c r="G498" s="1">
        <v>33</v>
      </c>
    </row>
    <row r="499" spans="1:8">
      <c r="A499" s="1" t="s">
        <v>72</v>
      </c>
      <c r="B499" s="4">
        <v>40732</v>
      </c>
      <c r="C499" s="1" t="s">
        <v>173</v>
      </c>
      <c r="D499" s="1" t="s">
        <v>141</v>
      </c>
      <c r="E499" s="1">
        <v>1</v>
      </c>
      <c r="F499" s="1" t="s">
        <v>142</v>
      </c>
      <c r="G499" s="1">
        <v>72</v>
      </c>
    </row>
    <row r="500" spans="1:8">
      <c r="A500" s="1" t="s">
        <v>72</v>
      </c>
      <c r="B500" s="4">
        <v>40732</v>
      </c>
      <c r="C500" s="1" t="s">
        <v>173</v>
      </c>
      <c r="D500" s="1" t="s">
        <v>141</v>
      </c>
      <c r="E500" s="1">
        <v>1</v>
      </c>
      <c r="F500" s="1" t="s">
        <v>142</v>
      </c>
      <c r="G500" s="1">
        <v>46</v>
      </c>
    </row>
    <row r="501" spans="1:8">
      <c r="A501" s="1" t="s">
        <v>72</v>
      </c>
      <c r="B501" s="4">
        <v>40732</v>
      </c>
      <c r="C501" s="1" t="s">
        <v>173</v>
      </c>
      <c r="D501" s="1" t="s">
        <v>141</v>
      </c>
      <c r="E501" s="1">
        <v>1</v>
      </c>
      <c r="F501" s="1" t="s">
        <v>142</v>
      </c>
      <c r="G501" s="1">
        <v>32</v>
      </c>
    </row>
    <row r="502" spans="1:8">
      <c r="A502" s="1" t="s">
        <v>72</v>
      </c>
      <c r="B502" s="4">
        <v>40732</v>
      </c>
      <c r="C502" s="1" t="s">
        <v>173</v>
      </c>
      <c r="D502" s="1" t="s">
        <v>141</v>
      </c>
      <c r="E502" s="1">
        <v>1</v>
      </c>
      <c r="F502" s="1" t="s">
        <v>142</v>
      </c>
      <c r="G502" s="1">
        <v>33</v>
      </c>
    </row>
    <row r="503" spans="1:8">
      <c r="A503" s="1" t="s">
        <v>72</v>
      </c>
      <c r="B503" s="4">
        <v>40732</v>
      </c>
      <c r="C503" s="1" t="s">
        <v>173</v>
      </c>
      <c r="D503" s="1" t="s">
        <v>141</v>
      </c>
      <c r="E503" s="1">
        <v>1</v>
      </c>
      <c r="F503" s="1" t="s">
        <v>142</v>
      </c>
      <c r="G503" s="1">
        <v>32</v>
      </c>
    </row>
    <row r="504" spans="1:8">
      <c r="A504" s="1" t="s">
        <v>72</v>
      </c>
      <c r="B504" s="4">
        <v>40732</v>
      </c>
      <c r="C504" s="1" t="s">
        <v>173</v>
      </c>
      <c r="D504" s="1" t="s">
        <v>141</v>
      </c>
      <c r="E504" s="1">
        <v>1</v>
      </c>
      <c r="F504" s="1" t="s">
        <v>142</v>
      </c>
      <c r="G504" s="1">
        <v>73</v>
      </c>
      <c r="H504" s="1">
        <v>4.5</v>
      </c>
    </row>
    <row r="505" spans="1:8">
      <c r="A505" s="1" t="s">
        <v>72</v>
      </c>
      <c r="B505" s="4">
        <v>40732</v>
      </c>
      <c r="C505" s="1" t="s">
        <v>173</v>
      </c>
      <c r="D505" s="1" t="s">
        <v>141</v>
      </c>
      <c r="E505" s="1">
        <v>1</v>
      </c>
      <c r="F505" s="1" t="s">
        <v>142</v>
      </c>
      <c r="G505" s="1">
        <v>33</v>
      </c>
    </row>
    <row r="506" spans="1:8">
      <c r="A506" s="1" t="s">
        <v>72</v>
      </c>
      <c r="B506" s="4">
        <v>40732</v>
      </c>
      <c r="C506" s="1" t="s">
        <v>173</v>
      </c>
      <c r="D506" s="1" t="s">
        <v>141</v>
      </c>
      <c r="E506" s="1">
        <v>1</v>
      </c>
      <c r="F506" s="1" t="s">
        <v>142</v>
      </c>
      <c r="G506" s="1">
        <v>32</v>
      </c>
    </row>
    <row r="507" spans="1:8">
      <c r="A507" s="1" t="s">
        <v>72</v>
      </c>
      <c r="B507" s="4">
        <v>40732</v>
      </c>
      <c r="C507" s="1" t="s">
        <v>173</v>
      </c>
      <c r="D507" s="1" t="s">
        <v>141</v>
      </c>
      <c r="E507" s="1">
        <v>1</v>
      </c>
      <c r="F507" s="1" t="s">
        <v>142</v>
      </c>
      <c r="G507" s="1">
        <v>56</v>
      </c>
      <c r="H507" s="1">
        <v>1.5</v>
      </c>
    </row>
    <row r="508" spans="1:8">
      <c r="A508" s="1" t="s">
        <v>72</v>
      </c>
      <c r="B508" s="4">
        <v>40732</v>
      </c>
      <c r="C508" s="1" t="s">
        <v>173</v>
      </c>
      <c r="D508" s="1" t="s">
        <v>141</v>
      </c>
      <c r="E508" s="1">
        <v>1</v>
      </c>
      <c r="F508" s="1" t="s">
        <v>142</v>
      </c>
      <c r="G508" s="1">
        <v>57</v>
      </c>
      <c r="H508" s="1">
        <v>2</v>
      </c>
    </row>
    <row r="509" spans="1:8">
      <c r="A509" s="1" t="s">
        <v>72</v>
      </c>
      <c r="B509" s="4">
        <v>40732</v>
      </c>
      <c r="C509" s="1" t="s">
        <v>173</v>
      </c>
      <c r="D509" s="1" t="s">
        <v>141</v>
      </c>
      <c r="E509" s="1">
        <v>1</v>
      </c>
      <c r="F509" s="1" t="s">
        <v>142</v>
      </c>
      <c r="G509" s="1">
        <v>34</v>
      </c>
    </row>
    <row r="510" spans="1:8">
      <c r="A510" s="1" t="s">
        <v>72</v>
      </c>
      <c r="B510" s="4">
        <v>40732</v>
      </c>
      <c r="C510" s="1" t="s">
        <v>173</v>
      </c>
      <c r="D510" s="1" t="s">
        <v>141</v>
      </c>
      <c r="E510" s="1">
        <v>1</v>
      </c>
      <c r="F510" s="1" t="s">
        <v>142</v>
      </c>
      <c r="G510" s="1">
        <v>32</v>
      </c>
    </row>
    <row r="511" spans="1:8">
      <c r="A511" s="1" t="s">
        <v>72</v>
      </c>
      <c r="B511" s="4">
        <v>40732</v>
      </c>
      <c r="C511" s="1" t="s">
        <v>173</v>
      </c>
      <c r="D511" s="1" t="s">
        <v>141</v>
      </c>
      <c r="E511" s="1">
        <v>2</v>
      </c>
      <c r="F511" s="1" t="s">
        <v>145</v>
      </c>
      <c r="G511" s="1">
        <v>54</v>
      </c>
      <c r="H511" s="1">
        <v>1.4</v>
      </c>
    </row>
    <row r="512" spans="1:8">
      <c r="A512" s="1" t="s">
        <v>72</v>
      </c>
      <c r="B512" s="4">
        <v>40732</v>
      </c>
      <c r="C512" s="1" t="s">
        <v>173</v>
      </c>
      <c r="D512" s="1" t="s">
        <v>141</v>
      </c>
      <c r="E512" s="1">
        <v>2</v>
      </c>
      <c r="F512" s="1" t="s">
        <v>145</v>
      </c>
      <c r="G512" s="1">
        <v>59</v>
      </c>
      <c r="H512" s="1">
        <v>2.1</v>
      </c>
    </row>
    <row r="513" spans="1:8">
      <c r="A513" s="1" t="s">
        <v>72</v>
      </c>
      <c r="B513" s="4">
        <v>40732</v>
      </c>
      <c r="C513" s="1" t="s">
        <v>173</v>
      </c>
      <c r="D513" s="1" t="s">
        <v>141</v>
      </c>
      <c r="E513" s="1">
        <v>2</v>
      </c>
      <c r="F513" s="1" t="s">
        <v>145</v>
      </c>
      <c r="G513" s="1">
        <v>55</v>
      </c>
    </row>
    <row r="514" spans="1:8">
      <c r="A514" s="1" t="s">
        <v>72</v>
      </c>
      <c r="B514" s="4">
        <v>40732</v>
      </c>
      <c r="C514" s="1" t="s">
        <v>173</v>
      </c>
      <c r="D514" s="1" t="s">
        <v>141</v>
      </c>
      <c r="E514" s="1">
        <v>2</v>
      </c>
      <c r="F514" s="1" t="s">
        <v>145</v>
      </c>
      <c r="G514" s="1">
        <v>52</v>
      </c>
      <c r="H514" s="1">
        <v>1</v>
      </c>
    </row>
    <row r="515" spans="1:8">
      <c r="A515" s="1" t="s">
        <v>72</v>
      </c>
      <c r="B515" s="4">
        <v>40732</v>
      </c>
      <c r="C515" s="1" t="s">
        <v>173</v>
      </c>
      <c r="D515" s="1" t="s">
        <v>141</v>
      </c>
      <c r="E515" s="1">
        <v>2</v>
      </c>
      <c r="F515" s="1" t="s">
        <v>145</v>
      </c>
      <c r="G515" s="1">
        <v>22</v>
      </c>
    </row>
    <row r="516" spans="1:8">
      <c r="A516" s="1" t="s">
        <v>72</v>
      </c>
      <c r="B516" s="4">
        <v>40732</v>
      </c>
      <c r="C516" s="1" t="s">
        <v>173</v>
      </c>
      <c r="D516" s="1" t="s">
        <v>141</v>
      </c>
      <c r="E516" s="1">
        <v>2</v>
      </c>
      <c r="F516" s="1" t="s">
        <v>145</v>
      </c>
      <c r="G516" s="1">
        <v>80</v>
      </c>
      <c r="H516" s="1">
        <v>5</v>
      </c>
    </row>
    <row r="517" spans="1:8">
      <c r="A517" s="1" t="s">
        <v>72</v>
      </c>
      <c r="B517" s="4">
        <v>40732</v>
      </c>
      <c r="C517" s="1" t="s">
        <v>173</v>
      </c>
      <c r="D517" s="1" t="s">
        <v>141</v>
      </c>
      <c r="E517" s="1">
        <v>2</v>
      </c>
      <c r="F517" s="1" t="s">
        <v>145</v>
      </c>
      <c r="G517" s="1">
        <v>47</v>
      </c>
      <c r="H517" s="1">
        <v>1.2</v>
      </c>
    </row>
    <row r="518" spans="1:8">
      <c r="A518" s="1" t="s">
        <v>72</v>
      </c>
      <c r="B518" s="4">
        <v>40732</v>
      </c>
      <c r="C518" s="1" t="s">
        <v>173</v>
      </c>
      <c r="D518" s="1" t="s">
        <v>141</v>
      </c>
      <c r="E518" s="1">
        <v>2</v>
      </c>
      <c r="F518" s="1" t="s">
        <v>145</v>
      </c>
      <c r="G518" s="1">
        <v>60</v>
      </c>
      <c r="H518" s="1">
        <v>2</v>
      </c>
    </row>
    <row r="519" spans="1:8">
      <c r="A519" s="1" t="s">
        <v>72</v>
      </c>
      <c r="B519" s="4">
        <v>40732</v>
      </c>
      <c r="C519" s="1" t="s">
        <v>173</v>
      </c>
      <c r="D519" s="1" t="s">
        <v>141</v>
      </c>
      <c r="E519" s="1">
        <v>2</v>
      </c>
      <c r="F519" s="1" t="s">
        <v>145</v>
      </c>
      <c r="G519" s="1">
        <v>64</v>
      </c>
      <c r="H519" s="1">
        <v>2.5</v>
      </c>
    </row>
    <row r="520" spans="1:8">
      <c r="A520" s="1" t="s">
        <v>72</v>
      </c>
      <c r="B520" s="4">
        <v>40732</v>
      </c>
      <c r="C520" s="1" t="s">
        <v>173</v>
      </c>
      <c r="D520" s="1" t="s">
        <v>141</v>
      </c>
      <c r="E520" s="1">
        <v>2</v>
      </c>
      <c r="F520" s="1" t="s">
        <v>145</v>
      </c>
      <c r="G520" s="1">
        <v>35</v>
      </c>
    </row>
    <row r="521" spans="1:8">
      <c r="A521" s="1" t="s">
        <v>72</v>
      </c>
      <c r="B521" s="4">
        <v>40732</v>
      </c>
      <c r="C521" s="1" t="s">
        <v>173</v>
      </c>
      <c r="D521" s="1" t="s">
        <v>141</v>
      </c>
      <c r="E521" s="1">
        <v>2</v>
      </c>
      <c r="F521" s="1" t="s">
        <v>145</v>
      </c>
      <c r="G521" s="1">
        <v>26</v>
      </c>
    </row>
    <row r="522" spans="1:8">
      <c r="A522" s="1" t="s">
        <v>72</v>
      </c>
      <c r="B522" s="4">
        <v>40732</v>
      </c>
      <c r="C522" s="1" t="s">
        <v>173</v>
      </c>
      <c r="D522" s="1" t="s">
        <v>141</v>
      </c>
      <c r="E522" s="1">
        <v>2</v>
      </c>
      <c r="F522" s="1" t="s">
        <v>145</v>
      </c>
      <c r="G522" s="1">
        <v>60</v>
      </c>
      <c r="H522" s="1">
        <v>1.9</v>
      </c>
    </row>
    <row r="523" spans="1:8">
      <c r="A523" s="1" t="s">
        <v>72</v>
      </c>
      <c r="B523" s="4">
        <v>40732</v>
      </c>
      <c r="C523" s="1" t="s">
        <v>173</v>
      </c>
      <c r="D523" s="1" t="s">
        <v>141</v>
      </c>
      <c r="E523" s="1">
        <v>2</v>
      </c>
      <c r="F523" s="1" t="s">
        <v>142</v>
      </c>
      <c r="G523" s="1">
        <v>70</v>
      </c>
      <c r="H523" s="1">
        <v>3.5</v>
      </c>
    </row>
    <row r="524" spans="1:8">
      <c r="A524" s="1" t="s">
        <v>72</v>
      </c>
      <c r="B524" s="4">
        <v>40732</v>
      </c>
      <c r="C524" s="1" t="s">
        <v>173</v>
      </c>
      <c r="D524" s="1" t="s">
        <v>141</v>
      </c>
      <c r="E524" s="1">
        <v>2</v>
      </c>
      <c r="F524" s="1" t="s">
        <v>142</v>
      </c>
      <c r="G524" s="1">
        <v>34</v>
      </c>
    </row>
    <row r="525" spans="1:8">
      <c r="A525" s="1" t="s">
        <v>72</v>
      </c>
      <c r="B525" s="4">
        <v>40732</v>
      </c>
      <c r="C525" s="1" t="s">
        <v>173</v>
      </c>
      <c r="D525" s="1" t="s">
        <v>141</v>
      </c>
      <c r="E525" s="1">
        <v>2</v>
      </c>
      <c r="F525" s="1" t="s">
        <v>142</v>
      </c>
      <c r="G525" s="1">
        <v>35</v>
      </c>
    </row>
    <row r="526" spans="1:8">
      <c r="A526" s="1" t="s">
        <v>72</v>
      </c>
      <c r="B526" s="4">
        <v>40732</v>
      </c>
      <c r="C526" s="1" t="s">
        <v>173</v>
      </c>
      <c r="D526" s="1" t="s">
        <v>141</v>
      </c>
      <c r="E526" s="1">
        <v>2</v>
      </c>
      <c r="F526" s="1" t="s">
        <v>142</v>
      </c>
      <c r="G526" s="1">
        <v>33</v>
      </c>
    </row>
    <row r="527" spans="1:8">
      <c r="A527" s="1" t="s">
        <v>72</v>
      </c>
      <c r="B527" s="4">
        <v>40732</v>
      </c>
      <c r="C527" s="1" t="s">
        <v>173</v>
      </c>
      <c r="D527" s="1" t="s">
        <v>141</v>
      </c>
      <c r="E527" s="1">
        <v>2</v>
      </c>
      <c r="F527" s="1" t="s">
        <v>142</v>
      </c>
      <c r="G527" s="1">
        <v>34</v>
      </c>
    </row>
    <row r="528" spans="1:8">
      <c r="A528" s="1" t="s">
        <v>72</v>
      </c>
      <c r="B528" s="4">
        <v>40732</v>
      </c>
      <c r="C528" s="1" t="s">
        <v>173</v>
      </c>
      <c r="D528" s="1" t="s">
        <v>141</v>
      </c>
      <c r="E528" s="1">
        <v>2</v>
      </c>
      <c r="F528" s="1" t="s">
        <v>142</v>
      </c>
      <c r="G528" s="1">
        <v>30</v>
      </c>
    </row>
    <row r="529" spans="1:8">
      <c r="A529" s="1" t="s">
        <v>72</v>
      </c>
      <c r="B529" s="4">
        <v>40732</v>
      </c>
      <c r="C529" s="1" t="s">
        <v>173</v>
      </c>
      <c r="D529" s="1" t="s">
        <v>141</v>
      </c>
      <c r="E529" s="1">
        <v>2</v>
      </c>
      <c r="F529" s="1" t="s">
        <v>142</v>
      </c>
      <c r="G529" s="1">
        <v>32</v>
      </c>
    </row>
    <row r="530" spans="1:8">
      <c r="A530" s="1" t="s">
        <v>72</v>
      </c>
      <c r="B530" s="4">
        <v>40732</v>
      </c>
      <c r="C530" s="1" t="s">
        <v>173</v>
      </c>
      <c r="D530" s="1" t="s">
        <v>141</v>
      </c>
      <c r="E530" s="1">
        <v>2</v>
      </c>
      <c r="F530" s="1" t="s">
        <v>142</v>
      </c>
      <c r="G530" s="1">
        <v>32</v>
      </c>
    </row>
    <row r="531" spans="1:8">
      <c r="A531" s="1" t="s">
        <v>72</v>
      </c>
      <c r="B531" s="4">
        <v>40732</v>
      </c>
      <c r="C531" s="1" t="s">
        <v>173</v>
      </c>
      <c r="D531" s="1" t="s">
        <v>141</v>
      </c>
      <c r="E531" s="1">
        <v>2</v>
      </c>
      <c r="F531" s="1" t="s">
        <v>142</v>
      </c>
      <c r="G531" s="1">
        <v>34</v>
      </c>
    </row>
    <row r="532" spans="1:8">
      <c r="A532" s="1" t="s">
        <v>72</v>
      </c>
      <c r="B532" s="4">
        <v>40732</v>
      </c>
      <c r="C532" s="1" t="s">
        <v>173</v>
      </c>
      <c r="D532" s="1" t="s">
        <v>141</v>
      </c>
      <c r="E532" s="1">
        <v>2</v>
      </c>
      <c r="F532" s="1" t="s">
        <v>142</v>
      </c>
      <c r="G532" s="1">
        <v>33</v>
      </c>
    </row>
    <row r="533" spans="1:8">
      <c r="A533" s="1" t="s">
        <v>72</v>
      </c>
      <c r="B533" s="4">
        <v>40732</v>
      </c>
      <c r="C533" s="1" t="s">
        <v>173</v>
      </c>
      <c r="D533" s="1" t="s">
        <v>141</v>
      </c>
      <c r="E533" s="1">
        <v>2</v>
      </c>
      <c r="F533" s="1" t="s">
        <v>142</v>
      </c>
      <c r="G533" s="1">
        <v>34</v>
      </c>
    </row>
    <row r="534" spans="1:8">
      <c r="A534" s="1" t="s">
        <v>72</v>
      </c>
      <c r="B534" s="4">
        <v>40732</v>
      </c>
      <c r="C534" s="1" t="s">
        <v>173</v>
      </c>
      <c r="D534" s="1" t="s">
        <v>147</v>
      </c>
      <c r="E534" s="1">
        <v>1</v>
      </c>
      <c r="F534" s="1" t="s">
        <v>145</v>
      </c>
      <c r="G534" s="1">
        <v>50</v>
      </c>
      <c r="H534" s="1">
        <v>1.2</v>
      </c>
    </row>
    <row r="535" spans="1:8">
      <c r="A535" s="1" t="s">
        <v>72</v>
      </c>
      <c r="B535" s="4">
        <v>40732</v>
      </c>
      <c r="C535" s="1" t="s">
        <v>173</v>
      </c>
      <c r="D535" s="1" t="s">
        <v>147</v>
      </c>
      <c r="E535" s="1">
        <v>1</v>
      </c>
      <c r="F535" s="1" t="s">
        <v>145</v>
      </c>
      <c r="G535" s="1">
        <v>58</v>
      </c>
      <c r="H535" s="1">
        <v>1.4</v>
      </c>
    </row>
    <row r="536" spans="1:8">
      <c r="A536" s="1" t="s">
        <v>72</v>
      </c>
      <c r="B536" s="4">
        <v>40732</v>
      </c>
      <c r="C536" s="1" t="s">
        <v>173</v>
      </c>
      <c r="D536" s="1" t="s">
        <v>147</v>
      </c>
      <c r="E536" s="1">
        <v>1</v>
      </c>
      <c r="F536" s="1" t="s">
        <v>145</v>
      </c>
      <c r="G536" s="1">
        <v>50</v>
      </c>
      <c r="H536" s="1">
        <v>1.4</v>
      </c>
    </row>
    <row r="537" spans="1:8">
      <c r="A537" s="1" t="s">
        <v>72</v>
      </c>
      <c r="B537" s="4">
        <v>40732</v>
      </c>
      <c r="C537" s="1" t="s">
        <v>173</v>
      </c>
      <c r="D537" s="1" t="s">
        <v>147</v>
      </c>
      <c r="E537" s="1">
        <v>1</v>
      </c>
      <c r="F537" s="1" t="s">
        <v>145</v>
      </c>
      <c r="G537" s="1">
        <v>84</v>
      </c>
    </row>
    <row r="538" spans="1:8">
      <c r="A538" s="1" t="s">
        <v>72</v>
      </c>
      <c r="B538" s="4">
        <v>40732</v>
      </c>
      <c r="C538" s="1" t="s">
        <v>173</v>
      </c>
      <c r="D538" s="1" t="s">
        <v>147</v>
      </c>
      <c r="E538" s="1">
        <v>1</v>
      </c>
      <c r="F538" s="1" t="s">
        <v>145</v>
      </c>
      <c r="G538" s="1">
        <v>70</v>
      </c>
      <c r="H538" s="1">
        <v>3</v>
      </c>
    </row>
    <row r="539" spans="1:8">
      <c r="A539" s="1" t="s">
        <v>72</v>
      </c>
      <c r="B539" s="4">
        <v>40732</v>
      </c>
      <c r="C539" s="1" t="s">
        <v>173</v>
      </c>
      <c r="D539" s="1" t="s">
        <v>147</v>
      </c>
      <c r="E539" s="1">
        <v>1</v>
      </c>
      <c r="F539" s="1" t="s">
        <v>145</v>
      </c>
      <c r="G539" s="1">
        <v>61</v>
      </c>
    </row>
    <row r="540" spans="1:8">
      <c r="A540" s="1" t="s">
        <v>72</v>
      </c>
      <c r="B540" s="4">
        <v>40732</v>
      </c>
      <c r="C540" s="1" t="s">
        <v>173</v>
      </c>
      <c r="D540" s="1" t="s">
        <v>147</v>
      </c>
      <c r="E540" s="1">
        <v>1</v>
      </c>
      <c r="F540" s="1" t="s">
        <v>145</v>
      </c>
      <c r="G540" s="1">
        <v>60</v>
      </c>
      <c r="H540" s="1">
        <v>1.5</v>
      </c>
    </row>
    <row r="541" spans="1:8">
      <c r="A541" s="1" t="s">
        <v>72</v>
      </c>
      <c r="B541" s="4">
        <v>40732</v>
      </c>
      <c r="C541" s="1" t="s">
        <v>173</v>
      </c>
      <c r="D541" s="1" t="s">
        <v>147</v>
      </c>
      <c r="E541" s="1">
        <v>1</v>
      </c>
      <c r="F541" s="1" t="s">
        <v>145</v>
      </c>
      <c r="G541" s="1">
        <v>52</v>
      </c>
    </row>
    <row r="542" spans="1:8">
      <c r="A542" s="1" t="s">
        <v>72</v>
      </c>
      <c r="B542" s="4">
        <v>40732</v>
      </c>
      <c r="C542" s="1" t="s">
        <v>173</v>
      </c>
      <c r="D542" s="1" t="s">
        <v>147</v>
      </c>
      <c r="E542" s="1">
        <v>1</v>
      </c>
      <c r="F542" s="1" t="s">
        <v>145</v>
      </c>
      <c r="G542" s="1">
        <v>61</v>
      </c>
      <c r="H542" s="1">
        <v>1.5</v>
      </c>
    </row>
    <row r="543" spans="1:8">
      <c r="A543" s="1" t="s">
        <v>72</v>
      </c>
      <c r="B543" s="4">
        <v>40732</v>
      </c>
      <c r="C543" s="1" t="s">
        <v>173</v>
      </c>
      <c r="D543" s="1" t="s">
        <v>147</v>
      </c>
      <c r="E543" s="1">
        <v>1</v>
      </c>
      <c r="F543" s="1" t="s">
        <v>145</v>
      </c>
      <c r="G543" s="1">
        <v>63</v>
      </c>
    </row>
    <row r="544" spans="1:8">
      <c r="A544" s="1" t="s">
        <v>72</v>
      </c>
      <c r="B544" s="4">
        <v>40732</v>
      </c>
      <c r="C544" s="1" t="s">
        <v>173</v>
      </c>
      <c r="D544" s="1" t="s">
        <v>147</v>
      </c>
      <c r="E544" s="1">
        <v>1</v>
      </c>
      <c r="F544" s="1" t="s">
        <v>145</v>
      </c>
      <c r="G544" s="1">
        <v>89</v>
      </c>
      <c r="H544" s="1">
        <v>6.6</v>
      </c>
    </row>
    <row r="545" spans="1:8">
      <c r="A545" s="1" t="s">
        <v>72</v>
      </c>
      <c r="B545" s="4">
        <v>40732</v>
      </c>
      <c r="C545" s="1" t="s">
        <v>173</v>
      </c>
      <c r="D545" s="1" t="s">
        <v>147</v>
      </c>
      <c r="E545" s="1">
        <v>1</v>
      </c>
      <c r="F545" s="1" t="s">
        <v>145</v>
      </c>
      <c r="G545" s="1">
        <v>50</v>
      </c>
      <c r="H545" s="1">
        <v>1.9</v>
      </c>
    </row>
    <row r="546" spans="1:8">
      <c r="A546" s="1" t="s">
        <v>72</v>
      </c>
      <c r="B546" s="4">
        <v>40732</v>
      </c>
      <c r="C546" s="1" t="s">
        <v>173</v>
      </c>
      <c r="D546" s="1" t="s">
        <v>147</v>
      </c>
      <c r="E546" s="1">
        <v>1</v>
      </c>
      <c r="F546" s="1" t="s">
        <v>145</v>
      </c>
      <c r="G546" s="1">
        <v>55</v>
      </c>
    </row>
    <row r="547" spans="1:8">
      <c r="A547" s="1" t="s">
        <v>72</v>
      </c>
      <c r="B547" s="4">
        <v>40732</v>
      </c>
      <c r="C547" s="1" t="s">
        <v>173</v>
      </c>
      <c r="D547" s="1" t="s">
        <v>147</v>
      </c>
      <c r="E547" s="1">
        <v>1</v>
      </c>
      <c r="F547" s="1" t="s">
        <v>145</v>
      </c>
      <c r="G547" s="1">
        <v>56</v>
      </c>
      <c r="H547" s="1">
        <v>1.4</v>
      </c>
    </row>
    <row r="548" spans="1:8">
      <c r="A548" s="1" t="s">
        <v>72</v>
      </c>
      <c r="B548" s="4">
        <v>40732</v>
      </c>
      <c r="C548" s="1" t="s">
        <v>173</v>
      </c>
      <c r="D548" s="1" t="s">
        <v>147</v>
      </c>
      <c r="E548" s="1">
        <v>1</v>
      </c>
      <c r="F548" s="1" t="s">
        <v>145</v>
      </c>
      <c r="G548" s="1">
        <v>61</v>
      </c>
      <c r="H548" s="1">
        <v>1.5</v>
      </c>
    </row>
    <row r="549" spans="1:8">
      <c r="A549" s="1" t="s">
        <v>72</v>
      </c>
      <c r="B549" s="4">
        <v>40732</v>
      </c>
      <c r="C549" s="1" t="s">
        <v>173</v>
      </c>
      <c r="D549" s="1" t="s">
        <v>147</v>
      </c>
      <c r="E549" s="1">
        <v>1</v>
      </c>
      <c r="F549" s="1" t="s">
        <v>145</v>
      </c>
      <c r="G549" s="1">
        <v>60</v>
      </c>
      <c r="H549" s="1">
        <v>1.1000000000000001</v>
      </c>
    </row>
    <row r="550" spans="1:8">
      <c r="A550" s="1" t="s">
        <v>72</v>
      </c>
      <c r="B550" s="4">
        <v>40732</v>
      </c>
      <c r="C550" s="1" t="s">
        <v>173</v>
      </c>
      <c r="D550" s="1" t="s">
        <v>147</v>
      </c>
      <c r="E550" s="1">
        <v>1</v>
      </c>
      <c r="F550" s="1" t="s">
        <v>145</v>
      </c>
      <c r="G550" s="1">
        <v>54</v>
      </c>
    </row>
    <row r="551" spans="1:8">
      <c r="A551" s="1" t="s">
        <v>72</v>
      </c>
      <c r="B551" s="4">
        <v>40732</v>
      </c>
      <c r="C551" s="1" t="s">
        <v>173</v>
      </c>
      <c r="D551" s="1" t="s">
        <v>147</v>
      </c>
      <c r="E551" s="1">
        <v>1</v>
      </c>
      <c r="F551" s="1" t="s">
        <v>145</v>
      </c>
      <c r="G551" s="1">
        <v>56</v>
      </c>
      <c r="H551" s="1">
        <v>1.8</v>
      </c>
    </row>
    <row r="552" spans="1:8">
      <c r="A552" s="1" t="s">
        <v>72</v>
      </c>
      <c r="B552" s="4">
        <v>40732</v>
      </c>
      <c r="C552" s="1" t="s">
        <v>173</v>
      </c>
      <c r="D552" s="1" t="s">
        <v>147</v>
      </c>
      <c r="E552" s="1">
        <v>1</v>
      </c>
      <c r="F552" s="1" t="s">
        <v>145</v>
      </c>
      <c r="G552" s="1">
        <v>107</v>
      </c>
      <c r="H552" s="1" t="s">
        <v>175</v>
      </c>
    </row>
    <row r="553" spans="1:8">
      <c r="A553" s="1" t="s">
        <v>72</v>
      </c>
      <c r="B553" s="4">
        <v>40732</v>
      </c>
      <c r="C553" s="1" t="s">
        <v>173</v>
      </c>
      <c r="D553" s="1" t="s">
        <v>147</v>
      </c>
      <c r="E553" s="1">
        <v>1</v>
      </c>
      <c r="F553" s="1" t="s">
        <v>145</v>
      </c>
      <c r="G553" s="1">
        <v>63</v>
      </c>
      <c r="H553" s="1">
        <v>2.1</v>
      </c>
    </row>
    <row r="554" spans="1:8">
      <c r="A554" s="1" t="s">
        <v>72</v>
      </c>
      <c r="B554" s="4">
        <v>40732</v>
      </c>
      <c r="C554" s="1" t="s">
        <v>173</v>
      </c>
      <c r="D554" s="1" t="s">
        <v>147</v>
      </c>
      <c r="E554" s="1">
        <v>1</v>
      </c>
      <c r="F554" s="1" t="s">
        <v>145</v>
      </c>
      <c r="G554" s="1">
        <v>27</v>
      </c>
    </row>
    <row r="555" spans="1:8">
      <c r="A555" s="1" t="s">
        <v>72</v>
      </c>
      <c r="B555" s="4">
        <v>40732</v>
      </c>
      <c r="C555" s="1" t="s">
        <v>173</v>
      </c>
      <c r="D555" s="1" t="s">
        <v>147</v>
      </c>
      <c r="E555" s="1">
        <v>1</v>
      </c>
      <c r="F555" s="1" t="s">
        <v>142</v>
      </c>
      <c r="G555" s="1">
        <v>38</v>
      </c>
    </row>
    <row r="556" spans="1:8">
      <c r="A556" s="1" t="s">
        <v>72</v>
      </c>
      <c r="B556" s="4">
        <v>40732</v>
      </c>
      <c r="C556" s="1" t="s">
        <v>173</v>
      </c>
      <c r="D556" s="1" t="s">
        <v>147</v>
      </c>
      <c r="E556" s="1">
        <v>1</v>
      </c>
      <c r="F556" s="1" t="s">
        <v>142</v>
      </c>
      <c r="G556" s="1">
        <v>35</v>
      </c>
    </row>
    <row r="557" spans="1:8">
      <c r="A557" s="1" t="s">
        <v>72</v>
      </c>
      <c r="B557" s="4">
        <v>40732</v>
      </c>
      <c r="C557" s="1" t="s">
        <v>173</v>
      </c>
      <c r="D557" s="1" t="s">
        <v>147</v>
      </c>
      <c r="E557" s="1">
        <v>1</v>
      </c>
      <c r="F557" s="1" t="s">
        <v>142</v>
      </c>
      <c r="G557" s="1">
        <v>29</v>
      </c>
    </row>
    <row r="558" spans="1:8">
      <c r="A558" s="1" t="s">
        <v>72</v>
      </c>
      <c r="B558" s="4">
        <v>40732</v>
      </c>
      <c r="C558" s="1" t="s">
        <v>173</v>
      </c>
      <c r="D558" s="1" t="s">
        <v>147</v>
      </c>
      <c r="E558" s="1">
        <v>1</v>
      </c>
      <c r="F558" s="1" t="s">
        <v>142</v>
      </c>
      <c r="G558" s="1">
        <v>32</v>
      </c>
    </row>
    <row r="559" spans="1:8">
      <c r="A559" s="1" t="s">
        <v>72</v>
      </c>
      <c r="B559" s="4">
        <v>40732</v>
      </c>
      <c r="C559" s="1" t="s">
        <v>173</v>
      </c>
      <c r="D559" s="1" t="s">
        <v>147</v>
      </c>
      <c r="E559" s="1">
        <v>1</v>
      </c>
      <c r="F559" s="1" t="s">
        <v>142</v>
      </c>
      <c r="G559" s="1">
        <v>32</v>
      </c>
    </row>
    <row r="560" spans="1:8">
      <c r="A560" s="1" t="s">
        <v>72</v>
      </c>
      <c r="B560" s="4">
        <v>40732</v>
      </c>
      <c r="C560" s="1" t="s">
        <v>173</v>
      </c>
      <c r="D560" s="1" t="s">
        <v>147</v>
      </c>
      <c r="E560" s="1">
        <v>1</v>
      </c>
      <c r="F560" s="1" t="s">
        <v>142</v>
      </c>
      <c r="G560" s="1">
        <v>32</v>
      </c>
    </row>
    <row r="561" spans="1:8">
      <c r="A561" s="1" t="s">
        <v>72</v>
      </c>
      <c r="B561" s="4">
        <v>40732</v>
      </c>
      <c r="C561" s="1" t="s">
        <v>173</v>
      </c>
      <c r="D561" s="1" t="s">
        <v>147</v>
      </c>
      <c r="E561" s="1">
        <v>1</v>
      </c>
      <c r="F561" s="1" t="s">
        <v>142</v>
      </c>
      <c r="G561" s="1">
        <v>33</v>
      </c>
    </row>
    <row r="562" spans="1:8">
      <c r="A562" s="1" t="s">
        <v>72</v>
      </c>
      <c r="B562" s="4">
        <v>40732</v>
      </c>
      <c r="C562" s="1" t="s">
        <v>173</v>
      </c>
      <c r="D562" s="1" t="s">
        <v>147</v>
      </c>
      <c r="E562" s="1">
        <v>1</v>
      </c>
      <c r="F562" s="1" t="s">
        <v>142</v>
      </c>
      <c r="G562" s="1">
        <v>30</v>
      </c>
    </row>
    <row r="563" spans="1:8">
      <c r="A563" s="1" t="s">
        <v>72</v>
      </c>
      <c r="B563" s="4">
        <v>40732</v>
      </c>
      <c r="C563" s="1" t="s">
        <v>173</v>
      </c>
      <c r="D563" s="1" t="s">
        <v>147</v>
      </c>
      <c r="E563" s="1">
        <v>2</v>
      </c>
      <c r="F563" s="1" t="s">
        <v>145</v>
      </c>
      <c r="G563" s="1">
        <v>87</v>
      </c>
      <c r="H563" s="1">
        <v>5.6</v>
      </c>
    </row>
    <row r="564" spans="1:8">
      <c r="A564" s="1" t="s">
        <v>72</v>
      </c>
      <c r="B564" s="4">
        <v>40732</v>
      </c>
      <c r="C564" s="1" t="s">
        <v>173</v>
      </c>
      <c r="D564" s="1" t="s">
        <v>147</v>
      </c>
      <c r="E564" s="1">
        <v>2</v>
      </c>
      <c r="F564" s="1" t="s">
        <v>145</v>
      </c>
      <c r="G564" s="1">
        <v>60</v>
      </c>
      <c r="H564" s="1">
        <v>3.7</v>
      </c>
    </row>
    <row r="565" spans="1:8">
      <c r="A565" s="1" t="s">
        <v>72</v>
      </c>
      <c r="B565" s="4">
        <v>40732</v>
      </c>
      <c r="C565" s="1" t="s">
        <v>173</v>
      </c>
      <c r="D565" s="1" t="s">
        <v>147</v>
      </c>
      <c r="E565" s="1">
        <v>2</v>
      </c>
      <c r="F565" s="1" t="s">
        <v>145</v>
      </c>
      <c r="G565" s="1">
        <v>53</v>
      </c>
      <c r="H565" s="1">
        <v>2</v>
      </c>
    </row>
    <row r="566" spans="1:8">
      <c r="A566" s="1" t="s">
        <v>72</v>
      </c>
      <c r="B566" s="4">
        <v>40732</v>
      </c>
      <c r="C566" s="1" t="s">
        <v>173</v>
      </c>
      <c r="D566" s="1" t="s">
        <v>147</v>
      </c>
      <c r="E566" s="1">
        <v>2</v>
      </c>
      <c r="F566" s="1" t="s">
        <v>145</v>
      </c>
      <c r="G566" s="1">
        <v>29</v>
      </c>
    </row>
    <row r="567" spans="1:8">
      <c r="A567" s="1" t="s">
        <v>72</v>
      </c>
      <c r="B567" s="4">
        <v>40732</v>
      </c>
      <c r="C567" s="1" t="s">
        <v>173</v>
      </c>
      <c r="D567" s="1" t="s">
        <v>147</v>
      </c>
      <c r="E567" s="1">
        <v>2</v>
      </c>
      <c r="F567" s="1" t="s">
        <v>145</v>
      </c>
      <c r="G567" s="1">
        <v>52</v>
      </c>
      <c r="H567" s="1">
        <v>1</v>
      </c>
    </row>
    <row r="568" spans="1:8">
      <c r="A568" s="1" t="s">
        <v>72</v>
      </c>
      <c r="B568" s="4">
        <v>40732</v>
      </c>
      <c r="C568" s="1" t="s">
        <v>173</v>
      </c>
      <c r="D568" s="1" t="s">
        <v>147</v>
      </c>
      <c r="E568" s="1">
        <v>2</v>
      </c>
      <c r="F568" s="1" t="s">
        <v>145</v>
      </c>
      <c r="G568" s="1">
        <v>33</v>
      </c>
    </row>
    <row r="569" spans="1:8">
      <c r="A569" s="1" t="s">
        <v>72</v>
      </c>
      <c r="B569" s="4">
        <v>40732</v>
      </c>
      <c r="C569" s="1" t="s">
        <v>173</v>
      </c>
      <c r="D569" s="1" t="s">
        <v>147</v>
      </c>
      <c r="E569" s="1">
        <v>2</v>
      </c>
      <c r="F569" s="1" t="s">
        <v>145</v>
      </c>
      <c r="G569" s="1">
        <v>31</v>
      </c>
    </row>
    <row r="570" spans="1:8">
      <c r="A570" s="1" t="s">
        <v>72</v>
      </c>
      <c r="B570" s="4">
        <v>40732</v>
      </c>
      <c r="C570" s="1" t="s">
        <v>173</v>
      </c>
      <c r="D570" s="1" t="s">
        <v>147</v>
      </c>
      <c r="E570" s="1">
        <v>2</v>
      </c>
      <c r="F570" s="1" t="s">
        <v>145</v>
      </c>
      <c r="G570" s="1">
        <v>64</v>
      </c>
      <c r="H570" s="1">
        <v>2.6</v>
      </c>
    </row>
    <row r="571" spans="1:8">
      <c r="A571" s="1" t="s">
        <v>72</v>
      </c>
      <c r="B571" s="4">
        <v>40732</v>
      </c>
      <c r="C571" s="1" t="s">
        <v>173</v>
      </c>
      <c r="D571" s="1" t="s">
        <v>147</v>
      </c>
      <c r="E571" s="1">
        <v>2</v>
      </c>
      <c r="F571" s="1" t="s">
        <v>145</v>
      </c>
      <c r="G571" s="1">
        <v>55</v>
      </c>
      <c r="H571" s="1">
        <v>1.6</v>
      </c>
    </row>
    <row r="572" spans="1:8">
      <c r="A572" s="1" t="s">
        <v>72</v>
      </c>
      <c r="B572" s="4">
        <v>40732</v>
      </c>
      <c r="C572" s="1" t="s">
        <v>173</v>
      </c>
      <c r="D572" s="1" t="s">
        <v>147</v>
      </c>
      <c r="E572" s="1">
        <v>2</v>
      </c>
      <c r="F572" s="1" t="s">
        <v>145</v>
      </c>
      <c r="G572" s="1">
        <v>64</v>
      </c>
      <c r="H572" s="1">
        <v>2.9</v>
      </c>
    </row>
    <row r="573" spans="1:8">
      <c r="A573" s="1" t="s">
        <v>72</v>
      </c>
      <c r="B573" s="4">
        <v>40732</v>
      </c>
      <c r="C573" s="1" t="s">
        <v>173</v>
      </c>
      <c r="D573" s="1" t="s">
        <v>147</v>
      </c>
      <c r="E573" s="1">
        <v>2</v>
      </c>
      <c r="F573" s="1" t="s">
        <v>145</v>
      </c>
      <c r="G573" s="1">
        <v>52</v>
      </c>
      <c r="H573" s="1">
        <v>1.1000000000000001</v>
      </c>
    </row>
    <row r="574" spans="1:8">
      <c r="A574" s="1" t="s">
        <v>72</v>
      </c>
      <c r="B574" s="4">
        <v>40732</v>
      </c>
      <c r="C574" s="1" t="s">
        <v>173</v>
      </c>
      <c r="D574" s="1" t="s">
        <v>147</v>
      </c>
      <c r="E574" s="1">
        <v>2</v>
      </c>
      <c r="F574" s="1" t="s">
        <v>145</v>
      </c>
      <c r="G574" s="1">
        <v>31</v>
      </c>
    </row>
    <row r="575" spans="1:8">
      <c r="A575" s="1" t="s">
        <v>72</v>
      </c>
      <c r="B575" s="4">
        <v>40732</v>
      </c>
      <c r="C575" s="1" t="s">
        <v>173</v>
      </c>
      <c r="D575" s="1" t="s">
        <v>147</v>
      </c>
      <c r="E575" s="1">
        <v>2</v>
      </c>
      <c r="F575" s="1" t="s">
        <v>145</v>
      </c>
      <c r="G575" s="1">
        <v>57</v>
      </c>
      <c r="H575" s="1">
        <v>1.5</v>
      </c>
    </row>
    <row r="576" spans="1:8">
      <c r="A576" s="1" t="s">
        <v>72</v>
      </c>
      <c r="B576" s="4">
        <v>40732</v>
      </c>
      <c r="C576" s="1" t="s">
        <v>173</v>
      </c>
      <c r="D576" s="1" t="s">
        <v>147</v>
      </c>
      <c r="E576" s="1">
        <v>2</v>
      </c>
      <c r="F576" s="1" t="s">
        <v>142</v>
      </c>
      <c r="G576" s="1">
        <v>34</v>
      </c>
    </row>
    <row r="577" spans="1:8">
      <c r="A577" s="1" t="s">
        <v>72</v>
      </c>
      <c r="B577" s="4">
        <v>40732</v>
      </c>
      <c r="C577" s="1" t="s">
        <v>173</v>
      </c>
      <c r="D577" s="1" t="s">
        <v>147</v>
      </c>
      <c r="E577" s="1">
        <v>2</v>
      </c>
      <c r="F577" s="1" t="s">
        <v>142</v>
      </c>
      <c r="G577" s="1">
        <v>60</v>
      </c>
      <c r="H577" s="1">
        <v>1.7</v>
      </c>
    </row>
    <row r="578" spans="1:8">
      <c r="A578" s="1" t="s">
        <v>72</v>
      </c>
      <c r="B578" s="4">
        <v>40732</v>
      </c>
      <c r="C578" s="1" t="s">
        <v>173</v>
      </c>
      <c r="D578" s="1" t="s">
        <v>150</v>
      </c>
      <c r="E578" s="1">
        <v>1</v>
      </c>
      <c r="F578" s="1" t="s">
        <v>142</v>
      </c>
      <c r="G578" s="1">
        <v>74</v>
      </c>
    </row>
    <row r="579" spans="1:8">
      <c r="A579" s="1" t="s">
        <v>72</v>
      </c>
      <c r="B579" s="4">
        <v>40732</v>
      </c>
      <c r="C579" s="1" t="s">
        <v>173</v>
      </c>
      <c r="D579" s="1" t="s">
        <v>150</v>
      </c>
      <c r="E579" s="1">
        <v>1</v>
      </c>
      <c r="F579" s="1" t="s">
        <v>142</v>
      </c>
      <c r="G579" s="1">
        <v>69</v>
      </c>
    </row>
    <row r="580" spans="1:8">
      <c r="A580" s="1" t="s">
        <v>72</v>
      </c>
      <c r="B580" s="4">
        <v>40732</v>
      </c>
      <c r="C580" s="1" t="s">
        <v>173</v>
      </c>
      <c r="D580" s="1" t="s">
        <v>150</v>
      </c>
      <c r="E580" s="1">
        <v>1</v>
      </c>
      <c r="F580" s="1" t="s">
        <v>142</v>
      </c>
      <c r="G580" s="1">
        <v>32</v>
      </c>
    </row>
    <row r="581" spans="1:8">
      <c r="A581" s="1" t="s">
        <v>72</v>
      </c>
      <c r="B581" s="4">
        <v>40732</v>
      </c>
      <c r="C581" s="1" t="s">
        <v>173</v>
      </c>
      <c r="D581" s="1" t="s">
        <v>150</v>
      </c>
      <c r="E581" s="1">
        <v>1</v>
      </c>
      <c r="F581" s="1" t="s">
        <v>142</v>
      </c>
      <c r="G581" s="1">
        <v>34</v>
      </c>
    </row>
    <row r="582" spans="1:8">
      <c r="A582" s="1" t="s">
        <v>72</v>
      </c>
      <c r="B582" s="4">
        <v>40732</v>
      </c>
      <c r="C582" s="1" t="s">
        <v>173</v>
      </c>
      <c r="D582" s="1" t="s">
        <v>150</v>
      </c>
      <c r="E582" s="1">
        <v>1</v>
      </c>
      <c r="F582" s="1" t="s">
        <v>142</v>
      </c>
      <c r="G582" s="1">
        <v>34</v>
      </c>
    </row>
    <row r="583" spans="1:8">
      <c r="A583" s="1" t="s">
        <v>72</v>
      </c>
      <c r="B583" s="4">
        <v>40732</v>
      </c>
      <c r="C583" s="1" t="s">
        <v>173</v>
      </c>
      <c r="D583" s="1" t="s">
        <v>150</v>
      </c>
      <c r="E583" s="1">
        <v>1</v>
      </c>
      <c r="F583" s="1" t="s">
        <v>145</v>
      </c>
      <c r="G583" s="1">
        <v>32</v>
      </c>
    </row>
    <row r="584" spans="1:8">
      <c r="A584" s="1" t="s">
        <v>72</v>
      </c>
      <c r="B584" s="4">
        <v>40732</v>
      </c>
      <c r="C584" s="1" t="s">
        <v>173</v>
      </c>
      <c r="D584" s="1" t="s">
        <v>150</v>
      </c>
      <c r="E584" s="1">
        <v>1</v>
      </c>
      <c r="F584" s="1" t="s">
        <v>145</v>
      </c>
      <c r="G584" s="1">
        <v>33</v>
      </c>
    </row>
    <row r="585" spans="1:8">
      <c r="A585" s="1" t="s">
        <v>72</v>
      </c>
      <c r="B585" s="4">
        <v>40732</v>
      </c>
      <c r="C585" s="1" t="s">
        <v>173</v>
      </c>
      <c r="D585" s="1" t="s">
        <v>150</v>
      </c>
      <c r="E585" s="1">
        <v>1</v>
      </c>
      <c r="F585" s="1" t="s">
        <v>145</v>
      </c>
      <c r="G585" s="1">
        <v>35</v>
      </c>
    </row>
    <row r="586" spans="1:8">
      <c r="A586" s="1" t="s">
        <v>72</v>
      </c>
      <c r="B586" s="4">
        <v>40732</v>
      </c>
      <c r="C586" s="1" t="s">
        <v>173</v>
      </c>
      <c r="D586" s="1" t="s">
        <v>150</v>
      </c>
      <c r="E586" s="1">
        <v>1</v>
      </c>
      <c r="F586" s="1" t="s">
        <v>145</v>
      </c>
      <c r="G586" s="1">
        <v>35</v>
      </c>
    </row>
    <row r="587" spans="1:8">
      <c r="A587" s="1" t="s">
        <v>72</v>
      </c>
      <c r="B587" s="4">
        <v>40732</v>
      </c>
      <c r="C587" s="1" t="s">
        <v>173</v>
      </c>
      <c r="D587" s="1" t="s">
        <v>150</v>
      </c>
      <c r="E587" s="1">
        <v>1</v>
      </c>
      <c r="F587" s="1" t="s">
        <v>145</v>
      </c>
      <c r="G587" s="1">
        <v>36</v>
      </c>
    </row>
    <row r="588" spans="1:8">
      <c r="A588" s="1" t="s">
        <v>72</v>
      </c>
      <c r="B588" s="4">
        <v>40732</v>
      </c>
      <c r="C588" s="1" t="s">
        <v>173</v>
      </c>
      <c r="D588" s="1" t="s">
        <v>150</v>
      </c>
      <c r="E588" s="1">
        <v>1</v>
      </c>
      <c r="F588" s="1" t="s">
        <v>145</v>
      </c>
      <c r="G588" s="1">
        <v>63</v>
      </c>
      <c r="H588" s="1">
        <v>2.2999999999999998</v>
      </c>
    </row>
    <row r="589" spans="1:8">
      <c r="A589" s="1" t="s">
        <v>72</v>
      </c>
      <c r="B589" s="4">
        <v>40732</v>
      </c>
      <c r="C589" s="1" t="s">
        <v>173</v>
      </c>
      <c r="D589" s="1" t="s">
        <v>150</v>
      </c>
      <c r="E589" s="1">
        <v>1</v>
      </c>
      <c r="F589" s="1" t="s">
        <v>145</v>
      </c>
      <c r="G589" s="1">
        <v>60</v>
      </c>
      <c r="H589" s="1">
        <v>1.9</v>
      </c>
    </row>
    <row r="590" spans="1:8">
      <c r="A590" s="1" t="s">
        <v>72</v>
      </c>
      <c r="B590" s="4">
        <v>40732</v>
      </c>
      <c r="C590" s="1" t="s">
        <v>173</v>
      </c>
      <c r="D590" s="1" t="s">
        <v>150</v>
      </c>
      <c r="E590" s="1">
        <v>1</v>
      </c>
      <c r="F590" s="1" t="s">
        <v>145</v>
      </c>
      <c r="G590" s="1">
        <v>56</v>
      </c>
      <c r="H590" s="1">
        <v>1.6</v>
      </c>
    </row>
    <row r="591" spans="1:8">
      <c r="A591" s="1" t="s">
        <v>72</v>
      </c>
      <c r="B591" s="4">
        <v>40732</v>
      </c>
      <c r="C591" s="1" t="s">
        <v>173</v>
      </c>
      <c r="D591" s="1" t="s">
        <v>150</v>
      </c>
      <c r="E591" s="1">
        <v>1</v>
      </c>
      <c r="F591" s="1" t="s">
        <v>145</v>
      </c>
      <c r="G591" s="1">
        <v>70</v>
      </c>
      <c r="H591" s="1">
        <v>3</v>
      </c>
    </row>
    <row r="592" spans="1:8">
      <c r="A592" s="1" t="s">
        <v>72</v>
      </c>
      <c r="B592" s="4">
        <v>40732</v>
      </c>
      <c r="C592" s="1" t="s">
        <v>173</v>
      </c>
      <c r="D592" s="1" t="s">
        <v>150</v>
      </c>
      <c r="E592" s="1">
        <v>1</v>
      </c>
      <c r="F592" s="1" t="s">
        <v>145</v>
      </c>
      <c r="G592" s="1">
        <v>78</v>
      </c>
      <c r="H592" s="1">
        <v>2.7</v>
      </c>
    </row>
    <row r="593" spans="1:8">
      <c r="A593" s="1" t="s">
        <v>72</v>
      </c>
      <c r="B593" s="4">
        <v>40732</v>
      </c>
      <c r="C593" s="1" t="s">
        <v>173</v>
      </c>
      <c r="D593" s="1" t="s">
        <v>150</v>
      </c>
      <c r="E593" s="1">
        <v>1</v>
      </c>
      <c r="F593" s="1" t="s">
        <v>145</v>
      </c>
      <c r="G593" s="1">
        <v>47</v>
      </c>
      <c r="H593" s="1">
        <v>1</v>
      </c>
    </row>
    <row r="594" spans="1:8">
      <c r="A594" s="1" t="s">
        <v>72</v>
      </c>
      <c r="B594" s="4">
        <v>40732</v>
      </c>
      <c r="C594" s="1" t="s">
        <v>173</v>
      </c>
      <c r="D594" s="1" t="s">
        <v>150</v>
      </c>
      <c r="E594" s="1">
        <v>1</v>
      </c>
      <c r="F594" s="1" t="s">
        <v>145</v>
      </c>
      <c r="G594" s="1">
        <v>59</v>
      </c>
      <c r="H594" s="1">
        <v>1.4</v>
      </c>
    </row>
    <row r="595" spans="1:8">
      <c r="A595" s="1" t="s">
        <v>72</v>
      </c>
      <c r="B595" s="4">
        <v>40732</v>
      </c>
      <c r="C595" s="1" t="s">
        <v>173</v>
      </c>
      <c r="D595" s="1" t="s">
        <v>150</v>
      </c>
      <c r="E595" s="1">
        <v>1</v>
      </c>
      <c r="F595" s="1" t="s">
        <v>145</v>
      </c>
      <c r="G595" s="1">
        <v>51</v>
      </c>
      <c r="H595" s="1">
        <v>1.2</v>
      </c>
    </row>
    <row r="596" spans="1:8">
      <c r="A596" s="1" t="s">
        <v>72</v>
      </c>
      <c r="B596" s="4">
        <v>40732</v>
      </c>
      <c r="C596" s="1" t="s">
        <v>173</v>
      </c>
      <c r="D596" s="1" t="s">
        <v>150</v>
      </c>
      <c r="E596" s="1">
        <v>1</v>
      </c>
      <c r="F596" s="1" t="s">
        <v>145</v>
      </c>
      <c r="G596" s="1">
        <v>35</v>
      </c>
    </row>
    <row r="597" spans="1:8">
      <c r="A597" s="1" t="s">
        <v>72</v>
      </c>
      <c r="B597" s="4">
        <v>40732</v>
      </c>
      <c r="C597" s="1" t="s">
        <v>173</v>
      </c>
      <c r="D597" s="1" t="s">
        <v>150</v>
      </c>
      <c r="E597" s="1">
        <v>1</v>
      </c>
      <c r="F597" s="1" t="s">
        <v>145</v>
      </c>
      <c r="G597" s="1">
        <v>34</v>
      </c>
    </row>
    <row r="598" spans="1:8">
      <c r="A598" s="1" t="s">
        <v>72</v>
      </c>
      <c r="B598" s="4">
        <v>40732</v>
      </c>
      <c r="C598" s="1" t="s">
        <v>173</v>
      </c>
      <c r="D598" s="1" t="s">
        <v>150</v>
      </c>
      <c r="E598" s="1">
        <v>1</v>
      </c>
      <c r="F598" s="1" t="s">
        <v>145</v>
      </c>
      <c r="G598" s="1">
        <v>30</v>
      </c>
    </row>
    <row r="599" spans="1:8">
      <c r="A599" s="1" t="s">
        <v>72</v>
      </c>
      <c r="B599" s="4">
        <v>40732</v>
      </c>
      <c r="C599" s="1" t="s">
        <v>173</v>
      </c>
      <c r="D599" s="1" t="s">
        <v>150</v>
      </c>
      <c r="E599" s="1">
        <v>1</v>
      </c>
      <c r="F599" s="1" t="s">
        <v>145</v>
      </c>
      <c r="G599" s="1">
        <v>33</v>
      </c>
    </row>
    <row r="600" spans="1:8">
      <c r="A600" s="1" t="s">
        <v>72</v>
      </c>
      <c r="B600" s="4">
        <v>40732</v>
      </c>
      <c r="C600" s="1" t="s">
        <v>173</v>
      </c>
      <c r="D600" s="1" t="s">
        <v>150</v>
      </c>
      <c r="E600" s="1">
        <v>1</v>
      </c>
      <c r="F600" s="1" t="s">
        <v>145</v>
      </c>
      <c r="G600" s="1">
        <v>33</v>
      </c>
    </row>
    <row r="601" spans="1:8">
      <c r="A601" s="1" t="s">
        <v>72</v>
      </c>
      <c r="B601" s="4">
        <v>40732</v>
      </c>
      <c r="C601" s="1" t="s">
        <v>173</v>
      </c>
      <c r="D601" s="1" t="s">
        <v>150</v>
      </c>
      <c r="E601" s="1">
        <v>1</v>
      </c>
      <c r="F601" s="1" t="s">
        <v>145</v>
      </c>
      <c r="G601" s="1">
        <v>34</v>
      </c>
    </row>
    <row r="602" spans="1:8">
      <c r="A602" s="1" t="s">
        <v>72</v>
      </c>
      <c r="B602" s="4">
        <v>40732</v>
      </c>
      <c r="C602" s="1" t="s">
        <v>173</v>
      </c>
      <c r="D602" s="1" t="s">
        <v>150</v>
      </c>
      <c r="E602" s="1">
        <v>1</v>
      </c>
      <c r="F602" s="1" t="s">
        <v>145</v>
      </c>
      <c r="G602" s="1">
        <v>34</v>
      </c>
    </row>
    <row r="603" spans="1:8">
      <c r="A603" s="1" t="s">
        <v>72</v>
      </c>
      <c r="B603" s="4">
        <v>40732</v>
      </c>
      <c r="C603" s="1" t="s">
        <v>173</v>
      </c>
      <c r="D603" s="1" t="s">
        <v>150</v>
      </c>
      <c r="E603" s="1">
        <v>1</v>
      </c>
      <c r="F603" s="1" t="s">
        <v>145</v>
      </c>
      <c r="G603" s="1">
        <v>54</v>
      </c>
      <c r="H603" s="1">
        <v>1.4</v>
      </c>
    </row>
    <row r="604" spans="1:8">
      <c r="A604" s="1" t="s">
        <v>72</v>
      </c>
      <c r="B604" s="4">
        <v>40732</v>
      </c>
      <c r="C604" s="1" t="s">
        <v>173</v>
      </c>
      <c r="D604" s="1" t="s">
        <v>150</v>
      </c>
      <c r="E604" s="1">
        <v>1</v>
      </c>
      <c r="F604" s="1" t="s">
        <v>145</v>
      </c>
      <c r="G604" s="1">
        <v>51</v>
      </c>
      <c r="H604" s="1">
        <v>0.9</v>
      </c>
    </row>
    <row r="605" spans="1:8">
      <c r="A605" s="1" t="s">
        <v>72</v>
      </c>
      <c r="B605" s="4">
        <v>40732</v>
      </c>
      <c r="C605" s="1" t="s">
        <v>173</v>
      </c>
      <c r="D605" s="1" t="s">
        <v>150</v>
      </c>
      <c r="E605" s="1">
        <v>1</v>
      </c>
      <c r="F605" s="1" t="s">
        <v>145</v>
      </c>
      <c r="G605" s="1">
        <v>60</v>
      </c>
      <c r="H605" s="1">
        <v>2.9</v>
      </c>
    </row>
    <row r="606" spans="1:8">
      <c r="A606" s="1" t="s">
        <v>72</v>
      </c>
      <c r="B606" s="4">
        <v>40732</v>
      </c>
      <c r="C606" s="1" t="s">
        <v>173</v>
      </c>
      <c r="D606" s="1" t="s">
        <v>150</v>
      </c>
      <c r="E606" s="1">
        <v>1</v>
      </c>
      <c r="F606" s="1" t="s">
        <v>145</v>
      </c>
      <c r="G606" s="1">
        <v>60</v>
      </c>
      <c r="H606" s="1">
        <v>1.9</v>
      </c>
    </row>
    <row r="607" spans="1:8">
      <c r="A607" s="1" t="s">
        <v>72</v>
      </c>
      <c r="B607" s="4">
        <v>40732</v>
      </c>
      <c r="C607" s="1" t="s">
        <v>173</v>
      </c>
      <c r="D607" s="1" t="s">
        <v>150</v>
      </c>
      <c r="E607" s="1">
        <v>1</v>
      </c>
      <c r="F607" s="1" t="s">
        <v>145</v>
      </c>
      <c r="G607" s="1">
        <v>52</v>
      </c>
      <c r="H607" s="1">
        <v>1.3</v>
      </c>
    </row>
    <row r="608" spans="1:8">
      <c r="A608" s="1" t="s">
        <v>72</v>
      </c>
      <c r="B608" s="4">
        <v>40732</v>
      </c>
      <c r="C608" s="1" t="s">
        <v>173</v>
      </c>
      <c r="D608" s="1" t="s">
        <v>150</v>
      </c>
      <c r="E608" s="1">
        <v>1</v>
      </c>
      <c r="F608" s="1" t="s">
        <v>145</v>
      </c>
      <c r="G608" s="1">
        <v>28</v>
      </c>
    </row>
    <row r="609" spans="1:8">
      <c r="A609" s="1" t="s">
        <v>72</v>
      </c>
      <c r="B609" s="4">
        <v>40732</v>
      </c>
      <c r="C609" s="1" t="s">
        <v>173</v>
      </c>
      <c r="D609" s="1" t="s">
        <v>150</v>
      </c>
      <c r="E609" s="1">
        <v>1</v>
      </c>
      <c r="F609" s="1" t="s">
        <v>145</v>
      </c>
      <c r="G609" s="1">
        <v>56</v>
      </c>
      <c r="H609" s="1">
        <v>1.4</v>
      </c>
    </row>
    <row r="610" spans="1:8">
      <c r="A610" s="1" t="s">
        <v>72</v>
      </c>
      <c r="B610" s="4">
        <v>40732</v>
      </c>
      <c r="C610" s="1" t="s">
        <v>173</v>
      </c>
      <c r="D610" s="1" t="s">
        <v>150</v>
      </c>
      <c r="E610" s="1">
        <v>1</v>
      </c>
      <c r="F610" s="1" t="s">
        <v>145</v>
      </c>
      <c r="G610" s="1">
        <v>49</v>
      </c>
      <c r="H610" s="1">
        <v>1</v>
      </c>
    </row>
    <row r="611" spans="1:8">
      <c r="A611" s="1" t="s">
        <v>72</v>
      </c>
      <c r="B611" s="4">
        <v>40732</v>
      </c>
      <c r="C611" s="1" t="s">
        <v>173</v>
      </c>
      <c r="D611" s="1" t="s">
        <v>150</v>
      </c>
      <c r="E611" s="1">
        <v>1</v>
      </c>
      <c r="F611" s="1" t="s">
        <v>145</v>
      </c>
      <c r="G611" s="1">
        <v>66</v>
      </c>
    </row>
    <row r="612" spans="1:8">
      <c r="A612" s="1" t="s">
        <v>72</v>
      </c>
      <c r="B612" s="4">
        <v>40732</v>
      </c>
      <c r="C612" s="1" t="s">
        <v>173</v>
      </c>
      <c r="D612" s="1" t="s">
        <v>150</v>
      </c>
      <c r="E612" s="1">
        <v>1</v>
      </c>
      <c r="F612" s="1" t="s">
        <v>145</v>
      </c>
      <c r="G612" s="1">
        <v>59</v>
      </c>
      <c r="H612" s="1">
        <v>2.2999999999999998</v>
      </c>
    </row>
    <row r="613" spans="1:8">
      <c r="A613" s="1" t="s">
        <v>72</v>
      </c>
      <c r="B613" s="4">
        <v>40732</v>
      </c>
      <c r="C613" s="1" t="s">
        <v>173</v>
      </c>
      <c r="D613" s="1" t="s">
        <v>150</v>
      </c>
      <c r="E613" s="1">
        <v>1</v>
      </c>
      <c r="F613" s="1" t="s">
        <v>145</v>
      </c>
      <c r="G613" s="1">
        <v>53</v>
      </c>
      <c r="H613" s="1">
        <v>1.7</v>
      </c>
    </row>
    <row r="614" spans="1:8">
      <c r="A614" s="1" t="s">
        <v>72</v>
      </c>
      <c r="B614" s="4">
        <v>40732</v>
      </c>
      <c r="C614" s="1" t="s">
        <v>173</v>
      </c>
      <c r="D614" s="1" t="s">
        <v>150</v>
      </c>
      <c r="E614" s="1">
        <v>1</v>
      </c>
      <c r="F614" s="1" t="s">
        <v>145</v>
      </c>
      <c r="G614" s="1">
        <v>55</v>
      </c>
      <c r="H614" s="1">
        <v>1.3</v>
      </c>
    </row>
    <row r="615" spans="1:8">
      <c r="A615" s="1" t="s">
        <v>72</v>
      </c>
      <c r="B615" s="4">
        <v>40732</v>
      </c>
      <c r="C615" s="1" t="s">
        <v>173</v>
      </c>
      <c r="D615" s="1" t="s">
        <v>150</v>
      </c>
      <c r="E615" s="1">
        <v>1</v>
      </c>
      <c r="F615" s="1" t="s">
        <v>145</v>
      </c>
      <c r="G615" s="1">
        <v>60</v>
      </c>
      <c r="H615" s="1">
        <v>1.8</v>
      </c>
    </row>
    <row r="616" spans="1:8">
      <c r="A616" s="1" t="s">
        <v>72</v>
      </c>
      <c r="B616" s="4">
        <v>40732</v>
      </c>
      <c r="C616" s="1" t="s">
        <v>173</v>
      </c>
      <c r="D616" s="1" t="s">
        <v>150</v>
      </c>
      <c r="E616" s="1">
        <v>1</v>
      </c>
      <c r="F616" s="1" t="s">
        <v>145</v>
      </c>
      <c r="G616" s="1">
        <v>102</v>
      </c>
      <c r="H616" s="1" t="s">
        <v>175</v>
      </c>
    </row>
    <row r="617" spans="1:8">
      <c r="A617" s="1" t="s">
        <v>72</v>
      </c>
      <c r="B617" s="4">
        <v>40732</v>
      </c>
      <c r="C617" s="1" t="s">
        <v>173</v>
      </c>
      <c r="D617" s="1" t="s">
        <v>150</v>
      </c>
      <c r="E617" s="1">
        <v>1</v>
      </c>
      <c r="F617" s="1" t="s">
        <v>145</v>
      </c>
      <c r="G617" s="1">
        <v>56</v>
      </c>
      <c r="H617" s="1">
        <v>1.4</v>
      </c>
    </row>
    <row r="618" spans="1:8">
      <c r="A618" s="1" t="s">
        <v>72</v>
      </c>
      <c r="B618" s="4">
        <v>40732</v>
      </c>
      <c r="C618" s="1" t="s">
        <v>173</v>
      </c>
      <c r="D618" s="1" t="s">
        <v>150</v>
      </c>
      <c r="E618" s="1">
        <v>1</v>
      </c>
      <c r="F618" s="1" t="s">
        <v>145</v>
      </c>
      <c r="G618" s="1">
        <v>55</v>
      </c>
      <c r="H618" s="1">
        <v>1.5</v>
      </c>
    </row>
    <row r="619" spans="1:8">
      <c r="A619" s="1" t="s">
        <v>72</v>
      </c>
      <c r="B619" s="4">
        <v>40732</v>
      </c>
      <c r="C619" s="1" t="s">
        <v>173</v>
      </c>
      <c r="D619" s="1" t="s">
        <v>150</v>
      </c>
      <c r="E619" s="1">
        <v>1</v>
      </c>
      <c r="F619" s="1" t="s">
        <v>145</v>
      </c>
      <c r="G619" s="1">
        <v>30</v>
      </c>
    </row>
    <row r="620" spans="1:8">
      <c r="A620" s="1" t="s">
        <v>72</v>
      </c>
      <c r="B620" s="4">
        <v>40732</v>
      </c>
      <c r="C620" s="1" t="s">
        <v>173</v>
      </c>
      <c r="D620" s="1" t="s">
        <v>150</v>
      </c>
      <c r="E620" s="1">
        <v>1</v>
      </c>
      <c r="F620" s="1" t="s">
        <v>145</v>
      </c>
      <c r="G620" s="1">
        <v>30</v>
      </c>
    </row>
    <row r="621" spans="1:8">
      <c r="A621" s="1" t="s">
        <v>72</v>
      </c>
      <c r="B621" s="4">
        <v>40732</v>
      </c>
      <c r="C621" s="1" t="s">
        <v>173</v>
      </c>
      <c r="D621" s="1" t="s">
        <v>150</v>
      </c>
      <c r="E621" s="1">
        <v>1</v>
      </c>
      <c r="F621" s="1" t="s">
        <v>145</v>
      </c>
      <c r="G621" s="1">
        <v>32</v>
      </c>
    </row>
    <row r="622" spans="1:8">
      <c r="A622" s="1" t="s">
        <v>72</v>
      </c>
      <c r="B622" s="4">
        <v>40732</v>
      </c>
      <c r="C622" s="1" t="s">
        <v>173</v>
      </c>
      <c r="D622" s="1" t="s">
        <v>150</v>
      </c>
      <c r="E622" s="1">
        <v>1</v>
      </c>
      <c r="F622" s="1" t="s">
        <v>145</v>
      </c>
      <c r="G622" s="1">
        <v>50</v>
      </c>
      <c r="H622" s="1">
        <v>1.2</v>
      </c>
    </row>
    <row r="623" spans="1:8">
      <c r="A623" s="1" t="s">
        <v>72</v>
      </c>
      <c r="B623" s="4">
        <v>40732</v>
      </c>
      <c r="C623" s="1" t="s">
        <v>173</v>
      </c>
      <c r="D623" s="1" t="s">
        <v>150</v>
      </c>
      <c r="E623" s="1">
        <v>1</v>
      </c>
      <c r="F623" s="1" t="s">
        <v>145</v>
      </c>
      <c r="G623" s="1">
        <v>58</v>
      </c>
      <c r="H623" s="1">
        <v>1.6</v>
      </c>
    </row>
    <row r="624" spans="1:8">
      <c r="A624" s="1" t="s">
        <v>72</v>
      </c>
      <c r="B624" s="4">
        <v>40732</v>
      </c>
      <c r="C624" s="1" t="s">
        <v>173</v>
      </c>
      <c r="D624" s="1" t="s">
        <v>150</v>
      </c>
      <c r="E624" s="1">
        <v>1</v>
      </c>
      <c r="F624" s="1" t="s">
        <v>145</v>
      </c>
      <c r="G624" s="1">
        <v>60</v>
      </c>
      <c r="H624" s="1">
        <v>1.8</v>
      </c>
    </row>
    <row r="625" spans="1:8">
      <c r="A625" s="1" t="s">
        <v>72</v>
      </c>
      <c r="B625" s="4">
        <v>40732</v>
      </c>
      <c r="C625" s="1" t="s">
        <v>173</v>
      </c>
      <c r="D625" s="1" t="s">
        <v>150</v>
      </c>
      <c r="E625" s="1">
        <v>1</v>
      </c>
      <c r="F625" s="1" t="s">
        <v>145</v>
      </c>
      <c r="G625" s="1">
        <v>64</v>
      </c>
      <c r="H625" s="1">
        <v>2.7</v>
      </c>
    </row>
    <row r="626" spans="1:8">
      <c r="A626" s="1" t="s">
        <v>72</v>
      </c>
      <c r="B626" s="4">
        <v>40732</v>
      </c>
      <c r="C626" s="1" t="s">
        <v>173</v>
      </c>
      <c r="D626" s="1" t="s">
        <v>150</v>
      </c>
      <c r="E626" s="1">
        <v>1</v>
      </c>
      <c r="F626" s="1" t="s">
        <v>145</v>
      </c>
      <c r="G626" s="1">
        <v>83</v>
      </c>
      <c r="H626" s="1">
        <v>4.7</v>
      </c>
    </row>
    <row r="627" spans="1:8">
      <c r="A627" s="1" t="s">
        <v>72</v>
      </c>
      <c r="B627" s="4">
        <v>40732</v>
      </c>
      <c r="C627" s="1" t="s">
        <v>173</v>
      </c>
      <c r="D627" s="1" t="s">
        <v>150</v>
      </c>
      <c r="E627" s="1">
        <v>1</v>
      </c>
      <c r="F627" s="1" t="s">
        <v>145</v>
      </c>
      <c r="G627" s="1">
        <v>59</v>
      </c>
      <c r="H627" s="1">
        <v>1.8</v>
      </c>
    </row>
    <row r="628" spans="1:8">
      <c r="A628" s="1" t="s">
        <v>72</v>
      </c>
      <c r="B628" s="4">
        <v>40732</v>
      </c>
      <c r="C628" s="1" t="s">
        <v>173</v>
      </c>
      <c r="D628" s="1" t="s">
        <v>150</v>
      </c>
      <c r="E628" s="1">
        <v>1</v>
      </c>
      <c r="F628" s="1" t="s">
        <v>145</v>
      </c>
      <c r="G628" s="1">
        <v>54</v>
      </c>
      <c r="H628" s="1">
        <v>1.5</v>
      </c>
    </row>
    <row r="629" spans="1:8">
      <c r="A629" s="1" t="s">
        <v>72</v>
      </c>
      <c r="B629" s="4">
        <v>40732</v>
      </c>
      <c r="C629" s="1" t="s">
        <v>173</v>
      </c>
      <c r="D629" s="1" t="s">
        <v>150</v>
      </c>
      <c r="E629" s="1">
        <v>1</v>
      </c>
      <c r="F629" s="1" t="s">
        <v>145</v>
      </c>
      <c r="G629" s="1">
        <v>51</v>
      </c>
      <c r="H629" s="1">
        <v>1.2</v>
      </c>
    </row>
    <row r="630" spans="1:8">
      <c r="A630" s="1" t="s">
        <v>72</v>
      </c>
      <c r="B630" s="4">
        <v>40732</v>
      </c>
      <c r="C630" s="1" t="s">
        <v>173</v>
      </c>
      <c r="D630" s="1" t="s">
        <v>150</v>
      </c>
      <c r="E630" s="1">
        <v>1</v>
      </c>
      <c r="F630" s="1" t="s">
        <v>145</v>
      </c>
      <c r="G630" s="1">
        <v>66</v>
      </c>
      <c r="H630" s="1">
        <v>2.2000000000000002</v>
      </c>
    </row>
    <row r="631" spans="1:8">
      <c r="A631" s="1" t="s">
        <v>72</v>
      </c>
      <c r="B631" s="4">
        <v>40732</v>
      </c>
      <c r="C631" s="1" t="s">
        <v>173</v>
      </c>
      <c r="D631" s="1" t="s">
        <v>150</v>
      </c>
      <c r="E631" s="1">
        <v>1</v>
      </c>
      <c r="F631" s="1" t="s">
        <v>145</v>
      </c>
      <c r="G631" s="1">
        <v>59</v>
      </c>
      <c r="H631" s="1">
        <v>1.8</v>
      </c>
    </row>
    <row r="632" spans="1:8">
      <c r="A632" s="1" t="s">
        <v>72</v>
      </c>
      <c r="B632" s="4">
        <v>40732</v>
      </c>
      <c r="C632" s="1" t="s">
        <v>173</v>
      </c>
      <c r="D632" s="1" t="s">
        <v>150</v>
      </c>
      <c r="E632" s="1">
        <v>1</v>
      </c>
      <c r="F632" s="1" t="s">
        <v>145</v>
      </c>
      <c r="G632" s="1">
        <v>59</v>
      </c>
      <c r="H632" s="1">
        <v>2</v>
      </c>
    </row>
    <row r="633" spans="1:8">
      <c r="A633" s="1" t="s">
        <v>72</v>
      </c>
      <c r="B633" s="4">
        <v>40732</v>
      </c>
      <c r="C633" s="1" t="s">
        <v>173</v>
      </c>
      <c r="D633" s="1" t="s">
        <v>150</v>
      </c>
      <c r="E633" s="1">
        <v>1</v>
      </c>
      <c r="F633" s="1" t="s">
        <v>145</v>
      </c>
      <c r="G633" s="1">
        <v>30</v>
      </c>
    </row>
    <row r="634" spans="1:8">
      <c r="A634" s="1" t="s">
        <v>72</v>
      </c>
      <c r="B634" s="4">
        <v>40732</v>
      </c>
      <c r="C634" s="1" t="s">
        <v>173</v>
      </c>
      <c r="D634" s="1" t="s">
        <v>150</v>
      </c>
      <c r="E634" s="1">
        <v>1</v>
      </c>
      <c r="F634" s="1" t="s">
        <v>145</v>
      </c>
      <c r="G634" s="1">
        <v>65</v>
      </c>
      <c r="H634" s="1">
        <v>2.6</v>
      </c>
    </row>
    <row r="635" spans="1:8">
      <c r="A635" s="1" t="s">
        <v>72</v>
      </c>
      <c r="B635" s="4">
        <v>40732</v>
      </c>
      <c r="C635" s="1" t="s">
        <v>173</v>
      </c>
      <c r="D635" s="1" t="s">
        <v>150</v>
      </c>
      <c r="E635" s="1">
        <v>1</v>
      </c>
      <c r="F635" s="1" t="s">
        <v>145</v>
      </c>
      <c r="G635" s="1">
        <v>55</v>
      </c>
      <c r="H635" s="1">
        <v>1.4</v>
      </c>
    </row>
    <row r="636" spans="1:8">
      <c r="A636" s="1" t="s">
        <v>72</v>
      </c>
      <c r="B636" s="4">
        <v>40732</v>
      </c>
      <c r="C636" s="1" t="s">
        <v>173</v>
      </c>
      <c r="D636" s="1" t="s">
        <v>150</v>
      </c>
      <c r="E636" s="1">
        <v>1</v>
      </c>
      <c r="F636" s="1" t="s">
        <v>145</v>
      </c>
      <c r="G636" s="1">
        <v>27</v>
      </c>
    </row>
    <row r="637" spans="1:8">
      <c r="A637" s="1" t="s">
        <v>72</v>
      </c>
      <c r="B637" s="4">
        <v>40732</v>
      </c>
      <c r="C637" s="1" t="s">
        <v>173</v>
      </c>
      <c r="D637" s="1" t="s">
        <v>150</v>
      </c>
      <c r="E637" s="1">
        <v>1</v>
      </c>
      <c r="F637" s="1" t="s">
        <v>145</v>
      </c>
      <c r="G637" s="1">
        <v>43</v>
      </c>
      <c r="H637" s="1">
        <v>0.7</v>
      </c>
    </row>
    <row r="638" spans="1:8">
      <c r="A638" s="1" t="s">
        <v>72</v>
      </c>
      <c r="B638" s="4">
        <v>40732</v>
      </c>
      <c r="C638" s="1" t="s">
        <v>173</v>
      </c>
      <c r="D638" s="1" t="s">
        <v>150</v>
      </c>
      <c r="E638" s="1">
        <v>1</v>
      </c>
      <c r="F638" s="1" t="s">
        <v>145</v>
      </c>
      <c r="G638" s="1">
        <v>66</v>
      </c>
      <c r="H638" s="1">
        <v>2.5</v>
      </c>
    </row>
    <row r="639" spans="1:8">
      <c r="A639" s="1" t="s">
        <v>72</v>
      </c>
      <c r="B639" s="4">
        <v>40732</v>
      </c>
      <c r="C639" s="1" t="s">
        <v>173</v>
      </c>
      <c r="D639" s="1" t="s">
        <v>150</v>
      </c>
      <c r="E639" s="1">
        <v>1</v>
      </c>
      <c r="F639" s="1" t="s">
        <v>145</v>
      </c>
      <c r="G639" s="1">
        <v>52</v>
      </c>
      <c r="H639" s="1">
        <v>1.6</v>
      </c>
    </row>
    <row r="640" spans="1:8">
      <c r="A640" s="1" t="s">
        <v>72</v>
      </c>
      <c r="B640" s="4">
        <v>40732</v>
      </c>
      <c r="C640" s="1" t="s">
        <v>173</v>
      </c>
      <c r="D640" s="1" t="s">
        <v>150</v>
      </c>
      <c r="E640" s="1">
        <v>1</v>
      </c>
      <c r="F640" s="1" t="s">
        <v>145</v>
      </c>
      <c r="G640" s="1">
        <v>58</v>
      </c>
      <c r="H640" s="1">
        <v>1.9</v>
      </c>
    </row>
    <row r="641" spans="1:8">
      <c r="A641" s="1" t="s">
        <v>72</v>
      </c>
      <c r="B641" s="4">
        <v>40732</v>
      </c>
      <c r="C641" s="1" t="s">
        <v>173</v>
      </c>
      <c r="D641" s="1" t="s">
        <v>150</v>
      </c>
      <c r="E641" s="1">
        <v>1</v>
      </c>
      <c r="F641" s="1" t="s">
        <v>145</v>
      </c>
      <c r="G641" s="1">
        <v>47</v>
      </c>
      <c r="H641" s="1">
        <v>1</v>
      </c>
    </row>
    <row r="642" spans="1:8">
      <c r="A642" s="1" t="s">
        <v>72</v>
      </c>
      <c r="B642" s="4">
        <v>40732</v>
      </c>
      <c r="C642" s="1" t="s">
        <v>173</v>
      </c>
      <c r="D642" s="1" t="s">
        <v>150</v>
      </c>
      <c r="E642" s="1">
        <v>1</v>
      </c>
      <c r="F642" s="1" t="s">
        <v>145</v>
      </c>
      <c r="G642" s="1">
        <v>56</v>
      </c>
      <c r="H642" s="1">
        <v>1.7</v>
      </c>
    </row>
    <row r="643" spans="1:8">
      <c r="A643" s="1" t="s">
        <v>72</v>
      </c>
      <c r="B643" s="4">
        <v>40732</v>
      </c>
      <c r="C643" s="1" t="s">
        <v>173</v>
      </c>
      <c r="D643" s="1" t="s">
        <v>150</v>
      </c>
      <c r="E643" s="1">
        <v>2</v>
      </c>
      <c r="F643" s="1" t="s">
        <v>145</v>
      </c>
      <c r="G643" s="1">
        <v>26</v>
      </c>
    </row>
    <row r="644" spans="1:8">
      <c r="A644" s="1" t="s">
        <v>72</v>
      </c>
      <c r="B644" s="4">
        <v>40732</v>
      </c>
      <c r="C644" s="1" t="s">
        <v>173</v>
      </c>
      <c r="D644" s="1" t="s">
        <v>150</v>
      </c>
      <c r="E644" s="1">
        <v>2</v>
      </c>
      <c r="F644" s="1" t="s">
        <v>145</v>
      </c>
      <c r="G644" s="1">
        <v>33</v>
      </c>
    </row>
    <row r="645" spans="1:8">
      <c r="A645" s="1" t="s">
        <v>72</v>
      </c>
      <c r="B645" s="4">
        <v>40732</v>
      </c>
      <c r="C645" s="1" t="s">
        <v>173</v>
      </c>
      <c r="D645" s="1" t="s">
        <v>150</v>
      </c>
      <c r="E645" s="1">
        <v>2</v>
      </c>
      <c r="F645" s="1" t="s">
        <v>145</v>
      </c>
      <c r="G645" s="1">
        <v>27</v>
      </c>
    </row>
    <row r="646" spans="1:8">
      <c r="A646" s="1" t="s">
        <v>72</v>
      </c>
      <c r="B646" s="4">
        <v>40732</v>
      </c>
      <c r="C646" s="1" t="s">
        <v>173</v>
      </c>
      <c r="D646" s="1" t="s">
        <v>150</v>
      </c>
      <c r="E646" s="1">
        <v>2</v>
      </c>
      <c r="F646" s="1" t="s">
        <v>145</v>
      </c>
      <c r="G646" s="1">
        <v>26</v>
      </c>
    </row>
    <row r="647" spans="1:8">
      <c r="A647" s="1" t="s">
        <v>72</v>
      </c>
      <c r="B647" s="4">
        <v>40732</v>
      </c>
      <c r="C647" s="1" t="s">
        <v>173</v>
      </c>
      <c r="D647" s="1" t="s">
        <v>150</v>
      </c>
      <c r="E647" s="1">
        <v>2</v>
      </c>
      <c r="F647" s="1" t="s">
        <v>145</v>
      </c>
      <c r="G647" s="1">
        <v>29</v>
      </c>
    </row>
    <row r="648" spans="1:8">
      <c r="A648" s="1" t="s">
        <v>72</v>
      </c>
      <c r="B648" s="4">
        <v>40732</v>
      </c>
      <c r="C648" s="1" t="s">
        <v>173</v>
      </c>
      <c r="D648" s="1" t="s">
        <v>150</v>
      </c>
      <c r="E648" s="1">
        <v>2</v>
      </c>
      <c r="F648" s="1" t="s">
        <v>145</v>
      </c>
      <c r="G648" s="1">
        <v>28</v>
      </c>
    </row>
    <row r="649" spans="1:8">
      <c r="A649" s="1" t="s">
        <v>72</v>
      </c>
      <c r="B649" s="4">
        <v>40732</v>
      </c>
      <c r="C649" s="1" t="s">
        <v>173</v>
      </c>
      <c r="D649" s="1" t="s">
        <v>150</v>
      </c>
      <c r="E649" s="1">
        <v>2</v>
      </c>
      <c r="F649" s="1" t="s">
        <v>145</v>
      </c>
      <c r="G649" s="1">
        <v>52</v>
      </c>
      <c r="H649" s="1">
        <v>1.3</v>
      </c>
    </row>
    <row r="650" spans="1:8">
      <c r="A650" s="1" t="s">
        <v>72</v>
      </c>
      <c r="B650" s="4">
        <v>40732</v>
      </c>
      <c r="C650" s="1" t="s">
        <v>173</v>
      </c>
      <c r="D650" s="1" t="s">
        <v>150</v>
      </c>
      <c r="E650" s="1">
        <v>2</v>
      </c>
      <c r="F650" s="1" t="s">
        <v>145</v>
      </c>
      <c r="G650" s="1">
        <v>55</v>
      </c>
      <c r="H650" s="1">
        <v>1.4</v>
      </c>
    </row>
    <row r="651" spans="1:8">
      <c r="A651" s="1" t="s">
        <v>72</v>
      </c>
      <c r="B651" s="4">
        <v>40732</v>
      </c>
      <c r="C651" s="1" t="s">
        <v>173</v>
      </c>
      <c r="D651" s="1" t="s">
        <v>150</v>
      </c>
      <c r="E651" s="1">
        <v>2</v>
      </c>
      <c r="F651" s="1" t="s">
        <v>145</v>
      </c>
      <c r="G651" s="1">
        <v>65</v>
      </c>
      <c r="H651" s="1">
        <v>2.2000000000000002</v>
      </c>
    </row>
    <row r="652" spans="1:8">
      <c r="A652" s="1" t="s">
        <v>72</v>
      </c>
      <c r="B652" s="4">
        <v>40732</v>
      </c>
      <c r="C652" s="1" t="s">
        <v>173</v>
      </c>
      <c r="D652" s="1" t="s">
        <v>150</v>
      </c>
      <c r="E652" s="1">
        <v>2</v>
      </c>
      <c r="F652" s="1" t="s">
        <v>145</v>
      </c>
      <c r="G652" s="1">
        <v>30</v>
      </c>
    </row>
    <row r="653" spans="1:8">
      <c r="A653" s="1" t="s">
        <v>72</v>
      </c>
      <c r="B653" s="4">
        <v>40732</v>
      </c>
      <c r="C653" s="1" t="s">
        <v>173</v>
      </c>
      <c r="D653" s="1" t="s">
        <v>150</v>
      </c>
      <c r="E653" s="1">
        <v>2</v>
      </c>
      <c r="F653" s="1" t="s">
        <v>145</v>
      </c>
      <c r="G653" s="1">
        <v>56</v>
      </c>
      <c r="H653" s="1">
        <v>1.5</v>
      </c>
    </row>
    <row r="654" spans="1:8">
      <c r="A654" s="1" t="s">
        <v>72</v>
      </c>
      <c r="B654" s="4">
        <v>40732</v>
      </c>
      <c r="C654" s="1" t="s">
        <v>173</v>
      </c>
      <c r="D654" s="1" t="s">
        <v>150</v>
      </c>
      <c r="E654" s="1">
        <v>2</v>
      </c>
      <c r="F654" s="1" t="s">
        <v>145</v>
      </c>
      <c r="G654" s="1">
        <v>64</v>
      </c>
      <c r="H654" s="1">
        <v>2.6</v>
      </c>
    </row>
    <row r="655" spans="1:8">
      <c r="A655" s="1" t="s">
        <v>72</v>
      </c>
      <c r="B655" s="4">
        <v>40732</v>
      </c>
      <c r="C655" s="1" t="s">
        <v>173</v>
      </c>
      <c r="D655" s="1" t="s">
        <v>150</v>
      </c>
      <c r="E655" s="1">
        <v>2</v>
      </c>
      <c r="F655" s="1" t="s">
        <v>145</v>
      </c>
      <c r="G655" s="1">
        <v>54</v>
      </c>
      <c r="H655" s="1">
        <v>1.4</v>
      </c>
    </row>
    <row r="656" spans="1:8">
      <c r="A656" s="1" t="s">
        <v>72</v>
      </c>
      <c r="B656" s="4">
        <v>40732</v>
      </c>
      <c r="C656" s="1" t="s">
        <v>173</v>
      </c>
      <c r="D656" s="1" t="s">
        <v>150</v>
      </c>
      <c r="E656" s="1">
        <v>2</v>
      </c>
      <c r="F656" s="1" t="s">
        <v>145</v>
      </c>
      <c r="G656" s="1">
        <v>423</v>
      </c>
      <c r="H656" s="1" t="s">
        <v>175</v>
      </c>
    </row>
    <row r="657" spans="1:8">
      <c r="A657" s="1" t="s">
        <v>72</v>
      </c>
      <c r="B657" s="4">
        <v>40732</v>
      </c>
      <c r="C657" s="1" t="s">
        <v>173</v>
      </c>
      <c r="D657" s="1" t="s">
        <v>150</v>
      </c>
      <c r="E657" s="1">
        <v>2</v>
      </c>
      <c r="F657" s="1" t="s">
        <v>145</v>
      </c>
      <c r="G657" s="1">
        <v>33</v>
      </c>
    </row>
    <row r="658" spans="1:8">
      <c r="A658" s="1" t="s">
        <v>72</v>
      </c>
      <c r="B658" s="4">
        <v>40732</v>
      </c>
      <c r="C658" s="1" t="s">
        <v>173</v>
      </c>
      <c r="D658" s="1" t="s">
        <v>150</v>
      </c>
      <c r="E658" s="1">
        <v>2</v>
      </c>
      <c r="F658" s="1" t="s">
        <v>145</v>
      </c>
      <c r="G658" s="1">
        <v>35</v>
      </c>
    </row>
    <row r="659" spans="1:8">
      <c r="A659" s="1" t="s">
        <v>72</v>
      </c>
      <c r="B659" s="4">
        <v>40732</v>
      </c>
      <c r="C659" s="1" t="s">
        <v>173</v>
      </c>
      <c r="D659" s="1" t="s">
        <v>150</v>
      </c>
      <c r="E659" s="1">
        <v>2</v>
      </c>
      <c r="F659" s="1" t="s">
        <v>145</v>
      </c>
      <c r="G659" s="1">
        <v>34</v>
      </c>
    </row>
    <row r="660" spans="1:8">
      <c r="A660" s="1" t="s">
        <v>72</v>
      </c>
      <c r="B660" s="4">
        <v>40732</v>
      </c>
      <c r="C660" s="1" t="s">
        <v>173</v>
      </c>
      <c r="D660" s="1" t="s">
        <v>150</v>
      </c>
      <c r="E660" s="1">
        <v>2</v>
      </c>
      <c r="F660" s="1" t="s">
        <v>145</v>
      </c>
      <c r="G660" s="1">
        <v>52</v>
      </c>
      <c r="H660" s="1">
        <v>1.2</v>
      </c>
    </row>
    <row r="661" spans="1:8">
      <c r="A661" s="1" t="s">
        <v>72</v>
      </c>
      <c r="B661" s="4">
        <v>40732</v>
      </c>
      <c r="C661" s="1" t="s">
        <v>173</v>
      </c>
      <c r="D661" s="1" t="s">
        <v>150</v>
      </c>
      <c r="E661" s="1">
        <v>2</v>
      </c>
      <c r="F661" s="1" t="s">
        <v>145</v>
      </c>
      <c r="G661" s="1">
        <v>59</v>
      </c>
      <c r="H661" s="1">
        <v>2.1</v>
      </c>
    </row>
    <row r="662" spans="1:8">
      <c r="A662" s="1" t="s">
        <v>72</v>
      </c>
      <c r="B662" s="4">
        <v>40732</v>
      </c>
      <c r="C662" s="1" t="s">
        <v>173</v>
      </c>
      <c r="D662" s="1" t="s">
        <v>150</v>
      </c>
      <c r="E662" s="1">
        <v>2</v>
      </c>
      <c r="F662" s="1" t="s">
        <v>145</v>
      </c>
      <c r="G662" s="1">
        <v>52</v>
      </c>
      <c r="H662" s="1">
        <v>1.3</v>
      </c>
    </row>
    <row r="663" spans="1:8">
      <c r="A663" s="1" t="s">
        <v>72</v>
      </c>
      <c r="B663" s="4">
        <v>40732</v>
      </c>
      <c r="C663" s="1" t="s">
        <v>173</v>
      </c>
      <c r="D663" s="1" t="s">
        <v>150</v>
      </c>
      <c r="E663" s="1">
        <v>2</v>
      </c>
      <c r="F663" s="1" t="s">
        <v>145</v>
      </c>
      <c r="G663" s="1">
        <v>65</v>
      </c>
      <c r="H663" s="1">
        <v>2.4</v>
      </c>
    </row>
    <row r="664" spans="1:8">
      <c r="A664" s="1" t="s">
        <v>72</v>
      </c>
      <c r="B664" s="4">
        <v>40732</v>
      </c>
      <c r="C664" s="1" t="s">
        <v>173</v>
      </c>
      <c r="D664" s="1" t="s">
        <v>150</v>
      </c>
      <c r="E664" s="1">
        <v>2</v>
      </c>
      <c r="F664" s="1" t="s">
        <v>145</v>
      </c>
      <c r="G664" s="1">
        <v>28</v>
      </c>
    </row>
    <row r="665" spans="1:8">
      <c r="A665" s="1" t="s">
        <v>72</v>
      </c>
      <c r="B665" s="4">
        <v>40732</v>
      </c>
      <c r="C665" s="1" t="s">
        <v>173</v>
      </c>
      <c r="D665" s="1" t="s">
        <v>150</v>
      </c>
      <c r="E665" s="1">
        <v>2</v>
      </c>
      <c r="F665" s="1" t="s">
        <v>142</v>
      </c>
      <c r="G665" s="1">
        <v>69</v>
      </c>
      <c r="H665" s="1">
        <v>3</v>
      </c>
    </row>
    <row r="666" spans="1:8">
      <c r="A666" s="1" t="s">
        <v>72</v>
      </c>
      <c r="B666" s="4">
        <v>40732</v>
      </c>
      <c r="C666" s="1" t="s">
        <v>173</v>
      </c>
      <c r="D666" s="1" t="s">
        <v>150</v>
      </c>
      <c r="E666" s="1">
        <v>2</v>
      </c>
      <c r="F666" s="1" t="s">
        <v>142</v>
      </c>
      <c r="G666" s="1">
        <v>35</v>
      </c>
    </row>
    <row r="667" spans="1:8">
      <c r="A667" s="1" t="s">
        <v>72</v>
      </c>
      <c r="B667" s="4">
        <v>40732</v>
      </c>
      <c r="C667" s="1" t="s">
        <v>173</v>
      </c>
      <c r="D667" s="1" t="s">
        <v>150</v>
      </c>
      <c r="E667" s="1">
        <v>2</v>
      </c>
      <c r="F667" s="1" t="s">
        <v>142</v>
      </c>
      <c r="G667" s="1">
        <v>34</v>
      </c>
    </row>
    <row r="668" spans="1:8">
      <c r="A668" s="1" t="s">
        <v>72</v>
      </c>
      <c r="B668" s="4">
        <v>40732</v>
      </c>
      <c r="C668" s="1" t="s">
        <v>173</v>
      </c>
      <c r="D668" s="1" t="s">
        <v>150</v>
      </c>
      <c r="E668" s="1">
        <v>2</v>
      </c>
      <c r="F668" s="1" t="s">
        <v>142</v>
      </c>
      <c r="G668" s="1">
        <v>34</v>
      </c>
    </row>
    <row r="669" spans="1:8">
      <c r="A669" s="1" t="s">
        <v>72</v>
      </c>
      <c r="B669" s="4">
        <v>40732</v>
      </c>
      <c r="C669" s="1" t="s">
        <v>173</v>
      </c>
      <c r="D669" s="1" t="s">
        <v>150</v>
      </c>
      <c r="E669" s="1">
        <v>2</v>
      </c>
      <c r="F669" s="1" t="s">
        <v>142</v>
      </c>
      <c r="G669" s="1">
        <v>33</v>
      </c>
    </row>
    <row r="670" spans="1:8">
      <c r="A670" s="1" t="s">
        <v>72</v>
      </c>
      <c r="B670" s="4">
        <v>40732</v>
      </c>
      <c r="C670" s="1" t="s">
        <v>173</v>
      </c>
      <c r="D670" s="1" t="s">
        <v>150</v>
      </c>
      <c r="E670" s="1">
        <v>2</v>
      </c>
      <c r="F670" s="1" t="s">
        <v>142</v>
      </c>
      <c r="G670" s="1">
        <v>34</v>
      </c>
    </row>
    <row r="671" spans="1:8">
      <c r="A671" s="1" t="s">
        <v>72</v>
      </c>
      <c r="B671" s="4">
        <v>40732</v>
      </c>
      <c r="C671" s="1" t="s">
        <v>173</v>
      </c>
      <c r="D671" s="1" t="s">
        <v>150</v>
      </c>
      <c r="E671" s="1">
        <v>2</v>
      </c>
      <c r="F671" s="1" t="s">
        <v>142</v>
      </c>
      <c r="G671" s="1">
        <v>34</v>
      </c>
    </row>
    <row r="672" spans="1:8">
      <c r="A672" s="1" t="s">
        <v>72</v>
      </c>
      <c r="B672" s="4">
        <v>40732</v>
      </c>
      <c r="C672" s="1" t="s">
        <v>173</v>
      </c>
      <c r="D672" s="1" t="s">
        <v>150</v>
      </c>
      <c r="E672" s="1">
        <v>2</v>
      </c>
      <c r="F672" s="1" t="s">
        <v>142</v>
      </c>
      <c r="G672" s="1">
        <v>33</v>
      </c>
    </row>
    <row r="673" spans="1:7">
      <c r="A673" s="1" t="s">
        <v>72</v>
      </c>
      <c r="B673" s="4">
        <v>40732</v>
      </c>
      <c r="C673" s="1" t="s">
        <v>173</v>
      </c>
      <c r="D673" s="1" t="s">
        <v>150</v>
      </c>
      <c r="E673" s="1">
        <v>2</v>
      </c>
      <c r="F673" s="1" t="s">
        <v>142</v>
      </c>
      <c r="G673" s="1">
        <v>34</v>
      </c>
    </row>
    <row r="674" spans="1:7">
      <c r="A674" s="1" t="s">
        <v>72</v>
      </c>
      <c r="B674" s="4">
        <v>40732</v>
      </c>
      <c r="C674" s="1" t="s">
        <v>173</v>
      </c>
      <c r="D674" s="1" t="s">
        <v>150</v>
      </c>
      <c r="E674" s="1">
        <v>2</v>
      </c>
      <c r="F674" s="1" t="s">
        <v>142</v>
      </c>
      <c r="G674" s="1">
        <v>35</v>
      </c>
    </row>
    <row r="675" spans="1:7">
      <c r="A675" s="1" t="s">
        <v>72</v>
      </c>
      <c r="B675" s="4">
        <v>40732</v>
      </c>
      <c r="C675" s="1" t="s">
        <v>173</v>
      </c>
      <c r="D675" s="1" t="s">
        <v>150</v>
      </c>
      <c r="E675" s="1">
        <v>2</v>
      </c>
      <c r="F675" s="1" t="s">
        <v>142</v>
      </c>
      <c r="G675" s="1">
        <v>33</v>
      </c>
    </row>
    <row r="676" spans="1:7">
      <c r="A676" s="1" t="s">
        <v>72</v>
      </c>
      <c r="B676" s="4">
        <v>40732</v>
      </c>
      <c r="C676" s="1" t="s">
        <v>173</v>
      </c>
      <c r="D676" s="1" t="s">
        <v>150</v>
      </c>
      <c r="E676" s="1">
        <v>2</v>
      </c>
      <c r="F676" s="1" t="s">
        <v>142</v>
      </c>
      <c r="G676" s="1">
        <v>34</v>
      </c>
    </row>
    <row r="677" spans="1:7">
      <c r="A677" s="1" t="s">
        <v>72</v>
      </c>
      <c r="B677" s="4">
        <v>40732</v>
      </c>
      <c r="C677" s="1" t="s">
        <v>173</v>
      </c>
      <c r="D677" s="1" t="s">
        <v>150</v>
      </c>
      <c r="E677" s="1">
        <v>2</v>
      </c>
      <c r="F677" s="1" t="s">
        <v>142</v>
      </c>
      <c r="G677" s="1">
        <v>33</v>
      </c>
    </row>
    <row r="678" spans="1:7">
      <c r="A678" s="1" t="s">
        <v>72</v>
      </c>
      <c r="B678" s="4">
        <v>40732</v>
      </c>
      <c r="C678" s="1" t="s">
        <v>173</v>
      </c>
      <c r="D678" s="1" t="s">
        <v>150</v>
      </c>
      <c r="E678" s="1">
        <v>2</v>
      </c>
      <c r="F678" s="1" t="s">
        <v>142</v>
      </c>
      <c r="G678" s="1">
        <v>35</v>
      </c>
    </row>
    <row r="679" spans="1:7">
      <c r="A679" s="1" t="s">
        <v>73</v>
      </c>
      <c r="B679" s="4">
        <v>40735</v>
      </c>
      <c r="C679" s="1" t="s">
        <v>176</v>
      </c>
      <c r="D679" s="1" t="s">
        <v>141</v>
      </c>
      <c r="E679" s="1">
        <v>1</v>
      </c>
      <c r="F679" s="1" t="s">
        <v>145</v>
      </c>
      <c r="G679" s="1">
        <v>94</v>
      </c>
    </row>
    <row r="680" spans="1:7">
      <c r="A680" s="1" t="s">
        <v>73</v>
      </c>
      <c r="B680" s="4">
        <v>40735</v>
      </c>
      <c r="C680" s="1" t="s">
        <v>176</v>
      </c>
      <c r="D680" s="1" t="s">
        <v>141</v>
      </c>
      <c r="E680" s="1">
        <v>1</v>
      </c>
      <c r="F680" s="1" t="s">
        <v>145</v>
      </c>
      <c r="G680" s="1">
        <v>84</v>
      </c>
    </row>
    <row r="681" spans="1:7">
      <c r="A681" s="1" t="s">
        <v>73</v>
      </c>
      <c r="B681" s="4">
        <v>40735</v>
      </c>
      <c r="C681" s="1" t="s">
        <v>176</v>
      </c>
      <c r="D681" s="1" t="s">
        <v>141</v>
      </c>
      <c r="E681" s="1">
        <v>1</v>
      </c>
      <c r="F681" s="1" t="s">
        <v>145</v>
      </c>
      <c r="G681" s="1">
        <v>52</v>
      </c>
    </row>
    <row r="682" spans="1:7">
      <c r="A682" s="1" t="s">
        <v>73</v>
      </c>
      <c r="B682" s="4">
        <v>40735</v>
      </c>
      <c r="C682" s="1" t="s">
        <v>176</v>
      </c>
      <c r="D682" s="1" t="s">
        <v>141</v>
      </c>
      <c r="E682" s="1">
        <v>1</v>
      </c>
      <c r="F682" s="1" t="s">
        <v>145</v>
      </c>
      <c r="G682" s="1">
        <v>78</v>
      </c>
    </row>
    <row r="683" spans="1:7">
      <c r="A683" s="1" t="s">
        <v>73</v>
      </c>
      <c r="B683" s="4">
        <v>40735</v>
      </c>
      <c r="C683" s="1" t="s">
        <v>176</v>
      </c>
      <c r="D683" s="1" t="s">
        <v>141</v>
      </c>
      <c r="E683" s="1">
        <v>1</v>
      </c>
      <c r="F683" s="1" t="s">
        <v>145</v>
      </c>
      <c r="G683" s="1">
        <v>86</v>
      </c>
    </row>
    <row r="684" spans="1:7">
      <c r="A684" s="1" t="s">
        <v>73</v>
      </c>
      <c r="B684" s="4">
        <v>40735</v>
      </c>
      <c r="C684" s="1" t="s">
        <v>176</v>
      </c>
      <c r="D684" s="1" t="s">
        <v>141</v>
      </c>
      <c r="E684" s="1">
        <v>1</v>
      </c>
      <c r="F684" s="1" t="s">
        <v>145</v>
      </c>
      <c r="G684" s="1">
        <v>71</v>
      </c>
    </row>
    <row r="685" spans="1:7">
      <c r="A685" s="1" t="s">
        <v>73</v>
      </c>
      <c r="B685" s="4">
        <v>40735</v>
      </c>
      <c r="C685" s="1" t="s">
        <v>176</v>
      </c>
      <c r="D685" s="1" t="s">
        <v>141</v>
      </c>
      <c r="E685" s="1">
        <v>1</v>
      </c>
      <c r="F685" s="1" t="s">
        <v>145</v>
      </c>
      <c r="G685" s="1">
        <v>55</v>
      </c>
    </row>
    <row r="686" spans="1:7">
      <c r="A686" s="1" t="s">
        <v>73</v>
      </c>
      <c r="B686" s="4">
        <v>40735</v>
      </c>
      <c r="C686" s="1" t="s">
        <v>176</v>
      </c>
      <c r="D686" s="1" t="s">
        <v>141</v>
      </c>
      <c r="E686" s="1">
        <v>1</v>
      </c>
      <c r="F686" s="1" t="s">
        <v>145</v>
      </c>
      <c r="G686" s="1">
        <v>78</v>
      </c>
    </row>
    <row r="687" spans="1:7">
      <c r="A687" s="1" t="s">
        <v>73</v>
      </c>
      <c r="B687" s="4">
        <v>40735</v>
      </c>
      <c r="C687" s="1" t="s">
        <v>176</v>
      </c>
      <c r="D687" s="1" t="s">
        <v>141</v>
      </c>
      <c r="E687" s="1">
        <v>1</v>
      </c>
      <c r="F687" s="1" t="s">
        <v>145</v>
      </c>
      <c r="G687" s="1">
        <v>77</v>
      </c>
    </row>
    <row r="688" spans="1:7">
      <c r="A688" s="1" t="s">
        <v>73</v>
      </c>
      <c r="B688" s="4">
        <v>40735</v>
      </c>
      <c r="C688" s="1" t="s">
        <v>176</v>
      </c>
      <c r="D688" s="1" t="s">
        <v>141</v>
      </c>
      <c r="E688" s="1">
        <v>1</v>
      </c>
      <c r="F688" s="1" t="s">
        <v>145</v>
      </c>
      <c r="G688" s="1">
        <v>71</v>
      </c>
    </row>
    <row r="689" spans="1:7">
      <c r="A689" s="1" t="s">
        <v>73</v>
      </c>
      <c r="B689" s="4">
        <v>40735</v>
      </c>
      <c r="C689" s="1" t="s">
        <v>176</v>
      </c>
      <c r="D689" s="1" t="s">
        <v>141</v>
      </c>
      <c r="E689" s="1">
        <v>1</v>
      </c>
      <c r="F689" s="1" t="s">
        <v>145</v>
      </c>
      <c r="G689" s="1">
        <v>61</v>
      </c>
    </row>
    <row r="690" spans="1:7">
      <c r="A690" s="1" t="s">
        <v>73</v>
      </c>
      <c r="B690" s="4">
        <v>40735</v>
      </c>
      <c r="C690" s="1" t="s">
        <v>176</v>
      </c>
      <c r="D690" s="1" t="s">
        <v>141</v>
      </c>
      <c r="E690" s="1">
        <v>1</v>
      </c>
      <c r="F690" s="1" t="s">
        <v>145</v>
      </c>
      <c r="G690" s="1">
        <v>29</v>
      </c>
    </row>
    <row r="691" spans="1:7">
      <c r="A691" s="1" t="s">
        <v>73</v>
      </c>
      <c r="B691" s="4">
        <v>40735</v>
      </c>
      <c r="C691" s="1" t="s">
        <v>176</v>
      </c>
      <c r="D691" s="1" t="s">
        <v>141</v>
      </c>
      <c r="E691" s="1">
        <v>1</v>
      </c>
      <c r="F691" s="1" t="s">
        <v>145</v>
      </c>
      <c r="G691" s="1">
        <v>39</v>
      </c>
    </row>
    <row r="692" spans="1:7">
      <c r="A692" s="1" t="s">
        <v>73</v>
      </c>
      <c r="B692" s="4">
        <v>40735</v>
      </c>
      <c r="C692" s="1" t="s">
        <v>176</v>
      </c>
      <c r="D692" s="1" t="s">
        <v>141</v>
      </c>
      <c r="E692" s="1">
        <v>1</v>
      </c>
      <c r="F692" s="1" t="s">
        <v>145</v>
      </c>
      <c r="G692" s="1">
        <v>31</v>
      </c>
    </row>
    <row r="693" spans="1:7">
      <c r="A693" s="1" t="s">
        <v>73</v>
      </c>
      <c r="B693" s="4">
        <v>40735</v>
      </c>
      <c r="C693" s="1" t="s">
        <v>176</v>
      </c>
      <c r="D693" s="1" t="s">
        <v>141</v>
      </c>
      <c r="E693" s="1">
        <v>1</v>
      </c>
      <c r="F693" s="1" t="s">
        <v>145</v>
      </c>
      <c r="G693" s="1">
        <v>29</v>
      </c>
    </row>
    <row r="694" spans="1:7">
      <c r="A694" s="1" t="s">
        <v>73</v>
      </c>
      <c r="B694" s="4">
        <v>40735</v>
      </c>
      <c r="C694" s="1" t="s">
        <v>176</v>
      </c>
      <c r="D694" s="1" t="s">
        <v>141</v>
      </c>
      <c r="E694" s="1">
        <v>1</v>
      </c>
      <c r="F694" s="1" t="s">
        <v>145</v>
      </c>
      <c r="G694" s="1">
        <v>52</v>
      </c>
    </row>
    <row r="695" spans="1:7">
      <c r="A695" s="1" t="s">
        <v>73</v>
      </c>
      <c r="B695" s="4">
        <v>40735</v>
      </c>
      <c r="C695" s="1" t="s">
        <v>176</v>
      </c>
      <c r="D695" s="1" t="s">
        <v>141</v>
      </c>
      <c r="E695" s="1">
        <v>1</v>
      </c>
      <c r="F695" s="1" t="s">
        <v>145</v>
      </c>
      <c r="G695" s="1">
        <v>54</v>
      </c>
    </row>
    <row r="696" spans="1:7">
      <c r="A696" s="1" t="s">
        <v>73</v>
      </c>
      <c r="B696" s="4">
        <v>40735</v>
      </c>
      <c r="C696" s="1" t="s">
        <v>176</v>
      </c>
      <c r="D696" s="1" t="s">
        <v>141</v>
      </c>
      <c r="E696" s="1">
        <v>1</v>
      </c>
      <c r="F696" s="1" t="s">
        <v>145</v>
      </c>
      <c r="G696" s="1">
        <v>61</v>
      </c>
    </row>
    <row r="697" spans="1:7">
      <c r="A697" s="1" t="s">
        <v>73</v>
      </c>
      <c r="B697" s="4">
        <v>40735</v>
      </c>
      <c r="C697" s="1" t="s">
        <v>176</v>
      </c>
      <c r="D697" s="1" t="s">
        <v>141</v>
      </c>
      <c r="E697" s="1">
        <v>1</v>
      </c>
      <c r="F697" s="1" t="s">
        <v>145</v>
      </c>
      <c r="G697" s="1">
        <v>57</v>
      </c>
    </row>
    <row r="698" spans="1:7">
      <c r="A698" s="1" t="s">
        <v>73</v>
      </c>
      <c r="B698" s="4">
        <v>40735</v>
      </c>
      <c r="C698" s="1" t="s">
        <v>176</v>
      </c>
      <c r="D698" s="1" t="s">
        <v>141</v>
      </c>
      <c r="E698" s="1">
        <v>1</v>
      </c>
      <c r="F698" s="1" t="s">
        <v>145</v>
      </c>
      <c r="G698" s="1">
        <v>64</v>
      </c>
    </row>
    <row r="699" spans="1:7">
      <c r="A699" s="1" t="s">
        <v>73</v>
      </c>
      <c r="B699" s="4">
        <v>40735</v>
      </c>
      <c r="C699" s="1" t="s">
        <v>176</v>
      </c>
      <c r="D699" s="1" t="s">
        <v>141</v>
      </c>
      <c r="E699" s="1">
        <v>1</v>
      </c>
      <c r="F699" s="1" t="s">
        <v>145</v>
      </c>
      <c r="G699" s="1">
        <v>64</v>
      </c>
    </row>
    <row r="700" spans="1:7">
      <c r="A700" s="1" t="s">
        <v>73</v>
      </c>
      <c r="B700" s="4">
        <v>40735</v>
      </c>
      <c r="C700" s="1" t="s">
        <v>176</v>
      </c>
      <c r="D700" s="1" t="s">
        <v>141</v>
      </c>
      <c r="E700" s="1">
        <v>1</v>
      </c>
      <c r="F700" s="1" t="s">
        <v>145</v>
      </c>
      <c r="G700" s="1">
        <v>103</v>
      </c>
    </row>
    <row r="701" spans="1:7">
      <c r="A701" s="1" t="s">
        <v>73</v>
      </c>
      <c r="B701" s="4">
        <v>40735</v>
      </c>
      <c r="C701" s="1" t="s">
        <v>176</v>
      </c>
      <c r="D701" s="1" t="s">
        <v>141</v>
      </c>
      <c r="E701" s="1">
        <v>1</v>
      </c>
      <c r="F701" s="1" t="s">
        <v>145</v>
      </c>
      <c r="G701" s="1">
        <v>31</v>
      </c>
    </row>
    <row r="702" spans="1:7">
      <c r="A702" s="1" t="s">
        <v>73</v>
      </c>
      <c r="B702" s="4">
        <v>40735</v>
      </c>
      <c r="C702" s="1" t="s">
        <v>176</v>
      </c>
      <c r="D702" s="1" t="s">
        <v>141</v>
      </c>
      <c r="E702" s="1">
        <v>1</v>
      </c>
      <c r="F702" s="1" t="s">
        <v>145</v>
      </c>
      <c r="G702" s="1">
        <v>51</v>
      </c>
    </row>
    <row r="703" spans="1:7">
      <c r="A703" s="1" t="s">
        <v>73</v>
      </c>
      <c r="B703" s="4">
        <v>40735</v>
      </c>
      <c r="C703" s="1" t="s">
        <v>176</v>
      </c>
      <c r="D703" s="1" t="s">
        <v>141</v>
      </c>
      <c r="E703" s="1">
        <v>1</v>
      </c>
      <c r="F703" s="1" t="s">
        <v>145</v>
      </c>
      <c r="G703" s="1">
        <v>48</v>
      </c>
    </row>
    <row r="704" spans="1:7">
      <c r="A704" s="1" t="s">
        <v>73</v>
      </c>
      <c r="B704" s="4">
        <v>40735</v>
      </c>
      <c r="C704" s="1" t="s">
        <v>176</v>
      </c>
      <c r="D704" s="1" t="s">
        <v>141</v>
      </c>
      <c r="E704" s="1">
        <v>1</v>
      </c>
      <c r="F704" s="1" t="s">
        <v>145</v>
      </c>
      <c r="G704" s="1">
        <v>57</v>
      </c>
    </row>
    <row r="705" spans="1:7">
      <c r="A705" s="1" t="s">
        <v>73</v>
      </c>
      <c r="B705" s="4">
        <v>40735</v>
      </c>
      <c r="C705" s="1" t="s">
        <v>176</v>
      </c>
      <c r="D705" s="1" t="s">
        <v>141</v>
      </c>
      <c r="E705" s="1">
        <v>1</v>
      </c>
      <c r="F705" s="1" t="s">
        <v>145</v>
      </c>
      <c r="G705" s="1">
        <v>59</v>
      </c>
    </row>
    <row r="706" spans="1:7">
      <c r="A706" s="1" t="s">
        <v>73</v>
      </c>
      <c r="B706" s="4">
        <v>40735</v>
      </c>
      <c r="C706" s="1" t="s">
        <v>176</v>
      </c>
      <c r="D706" s="1" t="s">
        <v>141</v>
      </c>
      <c r="E706" s="1">
        <v>1</v>
      </c>
      <c r="F706" s="1" t="s">
        <v>145</v>
      </c>
      <c r="G706" s="1">
        <v>63</v>
      </c>
    </row>
    <row r="707" spans="1:7">
      <c r="A707" s="1" t="s">
        <v>73</v>
      </c>
      <c r="B707" s="4">
        <v>40735</v>
      </c>
      <c r="C707" s="1" t="s">
        <v>176</v>
      </c>
      <c r="D707" s="1" t="s">
        <v>141</v>
      </c>
      <c r="E707" s="1">
        <v>1</v>
      </c>
      <c r="F707" s="1" t="s">
        <v>145</v>
      </c>
      <c r="G707" s="1">
        <v>31</v>
      </c>
    </row>
    <row r="708" spans="1:7">
      <c r="A708" s="1" t="s">
        <v>73</v>
      </c>
      <c r="B708" s="4">
        <v>40735</v>
      </c>
      <c r="C708" s="1" t="s">
        <v>176</v>
      </c>
      <c r="D708" s="1" t="s">
        <v>141</v>
      </c>
      <c r="E708" s="1">
        <v>1</v>
      </c>
      <c r="F708" s="1" t="s">
        <v>145</v>
      </c>
      <c r="G708" s="1">
        <v>32</v>
      </c>
    </row>
    <row r="709" spans="1:7">
      <c r="A709" s="1" t="s">
        <v>73</v>
      </c>
      <c r="B709" s="4">
        <v>40735</v>
      </c>
      <c r="C709" s="1" t="s">
        <v>176</v>
      </c>
      <c r="D709" s="1" t="s">
        <v>141</v>
      </c>
      <c r="E709" s="1">
        <v>1</v>
      </c>
      <c r="F709" s="1" t="s">
        <v>145</v>
      </c>
      <c r="G709" s="1">
        <v>31</v>
      </c>
    </row>
    <row r="710" spans="1:7">
      <c r="A710" s="1" t="s">
        <v>73</v>
      </c>
      <c r="B710" s="4">
        <v>40735</v>
      </c>
      <c r="C710" s="1" t="s">
        <v>176</v>
      </c>
      <c r="D710" s="1" t="s">
        <v>141</v>
      </c>
      <c r="E710" s="1">
        <v>1</v>
      </c>
      <c r="F710" s="1" t="s">
        <v>145</v>
      </c>
      <c r="G710" s="1">
        <v>31</v>
      </c>
    </row>
    <row r="711" spans="1:7">
      <c r="A711" s="1" t="s">
        <v>73</v>
      </c>
      <c r="B711" s="4">
        <v>40735</v>
      </c>
      <c r="C711" s="1" t="s">
        <v>176</v>
      </c>
      <c r="D711" s="1" t="s">
        <v>141</v>
      </c>
      <c r="E711" s="1">
        <v>1</v>
      </c>
      <c r="F711" s="1" t="s">
        <v>145</v>
      </c>
      <c r="G711" s="1">
        <v>28</v>
      </c>
    </row>
    <row r="712" spans="1:7">
      <c r="A712" s="1" t="s">
        <v>73</v>
      </c>
      <c r="B712" s="4">
        <v>40735</v>
      </c>
      <c r="C712" s="1" t="s">
        <v>176</v>
      </c>
      <c r="D712" s="1" t="s">
        <v>141</v>
      </c>
      <c r="E712" s="1">
        <v>1</v>
      </c>
      <c r="F712" s="1" t="s">
        <v>145</v>
      </c>
      <c r="G712" s="1">
        <v>31</v>
      </c>
    </row>
    <row r="713" spans="1:7">
      <c r="A713" s="1" t="s">
        <v>73</v>
      </c>
      <c r="B713" s="4">
        <v>40735</v>
      </c>
      <c r="C713" s="1" t="s">
        <v>176</v>
      </c>
      <c r="D713" s="1" t="s">
        <v>141</v>
      </c>
      <c r="E713" s="1">
        <v>1</v>
      </c>
      <c r="F713" s="1" t="s">
        <v>145</v>
      </c>
      <c r="G713" s="1">
        <v>31</v>
      </c>
    </row>
    <row r="714" spans="1:7">
      <c r="A714" s="1" t="s">
        <v>73</v>
      </c>
      <c r="B714" s="4">
        <v>40735</v>
      </c>
      <c r="C714" s="1" t="s">
        <v>176</v>
      </c>
      <c r="D714" s="1" t="s">
        <v>141</v>
      </c>
      <c r="E714" s="1">
        <v>1</v>
      </c>
      <c r="F714" s="1" t="s">
        <v>145</v>
      </c>
      <c r="G714" s="1">
        <v>35</v>
      </c>
    </row>
    <row r="715" spans="1:7">
      <c r="A715" s="1" t="s">
        <v>73</v>
      </c>
      <c r="B715" s="4">
        <v>40735</v>
      </c>
      <c r="C715" s="1" t="s">
        <v>176</v>
      </c>
      <c r="D715" s="1" t="s">
        <v>141</v>
      </c>
      <c r="E715" s="1">
        <v>1</v>
      </c>
      <c r="F715" s="1" t="s">
        <v>145</v>
      </c>
      <c r="G715" s="1">
        <v>28</v>
      </c>
    </row>
    <row r="716" spans="1:7">
      <c r="A716" s="1" t="s">
        <v>73</v>
      </c>
      <c r="B716" s="4">
        <v>40735</v>
      </c>
      <c r="C716" s="1" t="s">
        <v>176</v>
      </c>
      <c r="D716" s="1" t="s">
        <v>141</v>
      </c>
      <c r="E716" s="1">
        <v>1</v>
      </c>
      <c r="F716" s="1" t="s">
        <v>145</v>
      </c>
      <c r="G716" s="1">
        <v>28</v>
      </c>
    </row>
    <row r="717" spans="1:7">
      <c r="A717" s="1" t="s">
        <v>73</v>
      </c>
      <c r="B717" s="4">
        <v>40735</v>
      </c>
      <c r="C717" s="1" t="s">
        <v>176</v>
      </c>
      <c r="D717" s="1" t="s">
        <v>141</v>
      </c>
      <c r="E717" s="1">
        <v>1</v>
      </c>
      <c r="F717" s="1" t="s">
        <v>145</v>
      </c>
      <c r="G717" s="1">
        <v>29</v>
      </c>
    </row>
    <row r="718" spans="1:7">
      <c r="A718" s="1" t="s">
        <v>73</v>
      </c>
      <c r="B718" s="4">
        <v>40735</v>
      </c>
      <c r="C718" s="1" t="s">
        <v>176</v>
      </c>
      <c r="D718" s="1" t="s">
        <v>141</v>
      </c>
      <c r="E718" s="1">
        <v>1</v>
      </c>
      <c r="F718" s="1" t="s">
        <v>145</v>
      </c>
      <c r="G718" s="1">
        <v>27</v>
      </c>
    </row>
    <row r="719" spans="1:7">
      <c r="A719" s="1" t="s">
        <v>73</v>
      </c>
      <c r="B719" s="4">
        <v>40735</v>
      </c>
      <c r="C719" s="1" t="s">
        <v>176</v>
      </c>
      <c r="D719" s="1" t="s">
        <v>141</v>
      </c>
      <c r="E719" s="1">
        <v>1</v>
      </c>
      <c r="F719" s="1" t="s">
        <v>145</v>
      </c>
      <c r="G719" s="1">
        <v>28</v>
      </c>
    </row>
    <row r="720" spans="1:7">
      <c r="A720" s="1" t="s">
        <v>73</v>
      </c>
      <c r="B720" s="4">
        <v>40735</v>
      </c>
      <c r="C720" s="1" t="s">
        <v>176</v>
      </c>
      <c r="D720" s="1" t="s">
        <v>141</v>
      </c>
      <c r="E720" s="1">
        <v>1</v>
      </c>
      <c r="F720" s="1" t="s">
        <v>145</v>
      </c>
      <c r="G720" s="1">
        <v>26</v>
      </c>
    </row>
    <row r="721" spans="1:7">
      <c r="A721" s="1" t="s">
        <v>73</v>
      </c>
      <c r="B721" s="4">
        <v>40735</v>
      </c>
      <c r="C721" s="1" t="s">
        <v>176</v>
      </c>
      <c r="D721" s="1" t="s">
        <v>141</v>
      </c>
      <c r="E721" s="1">
        <v>1</v>
      </c>
      <c r="F721" s="1" t="s">
        <v>145</v>
      </c>
      <c r="G721" s="1">
        <v>54</v>
      </c>
    </row>
    <row r="722" spans="1:7">
      <c r="A722" s="1" t="s">
        <v>73</v>
      </c>
      <c r="B722" s="4">
        <v>40735</v>
      </c>
      <c r="C722" s="1" t="s">
        <v>176</v>
      </c>
      <c r="D722" s="1" t="s">
        <v>141</v>
      </c>
      <c r="E722" s="1">
        <v>1</v>
      </c>
      <c r="F722" s="1" t="s">
        <v>145</v>
      </c>
      <c r="G722" s="1">
        <v>52</v>
      </c>
    </row>
    <row r="723" spans="1:7">
      <c r="A723" s="1" t="s">
        <v>73</v>
      </c>
      <c r="B723" s="4">
        <v>40735</v>
      </c>
      <c r="C723" s="1" t="s">
        <v>176</v>
      </c>
      <c r="D723" s="1" t="s">
        <v>141</v>
      </c>
      <c r="E723" s="1">
        <v>1</v>
      </c>
      <c r="F723" s="1" t="s">
        <v>145</v>
      </c>
      <c r="G723" s="1">
        <v>51</v>
      </c>
    </row>
    <row r="724" spans="1:7">
      <c r="A724" s="1" t="s">
        <v>73</v>
      </c>
      <c r="B724" s="4">
        <v>40735</v>
      </c>
      <c r="C724" s="1" t="s">
        <v>176</v>
      </c>
      <c r="D724" s="1" t="s">
        <v>141</v>
      </c>
      <c r="E724" s="1">
        <v>1</v>
      </c>
      <c r="F724" s="1" t="s">
        <v>145</v>
      </c>
      <c r="G724" s="1">
        <v>55</v>
      </c>
    </row>
    <row r="725" spans="1:7">
      <c r="A725" s="1" t="s">
        <v>73</v>
      </c>
      <c r="B725" s="4">
        <v>40735</v>
      </c>
      <c r="C725" s="1" t="s">
        <v>176</v>
      </c>
      <c r="D725" s="1" t="s">
        <v>141</v>
      </c>
      <c r="E725" s="1">
        <v>1</v>
      </c>
      <c r="F725" s="1" t="s">
        <v>145</v>
      </c>
      <c r="G725" s="1">
        <v>71</v>
      </c>
    </row>
    <row r="726" spans="1:7">
      <c r="A726" s="1" t="s">
        <v>73</v>
      </c>
      <c r="B726" s="4">
        <v>40735</v>
      </c>
      <c r="C726" s="1" t="s">
        <v>176</v>
      </c>
      <c r="D726" s="1" t="s">
        <v>141</v>
      </c>
      <c r="E726" s="1">
        <v>1</v>
      </c>
      <c r="F726" s="1" t="s">
        <v>145</v>
      </c>
      <c r="G726" s="1">
        <v>69</v>
      </c>
    </row>
    <row r="727" spans="1:7">
      <c r="A727" s="1" t="s">
        <v>73</v>
      </c>
      <c r="B727" s="4">
        <v>40735</v>
      </c>
      <c r="C727" s="1" t="s">
        <v>176</v>
      </c>
      <c r="D727" s="1" t="s">
        <v>141</v>
      </c>
      <c r="E727" s="1">
        <v>1</v>
      </c>
      <c r="F727" s="1" t="s">
        <v>145</v>
      </c>
      <c r="G727" s="1">
        <v>70</v>
      </c>
    </row>
    <row r="728" spans="1:7">
      <c r="A728" s="1" t="s">
        <v>73</v>
      </c>
      <c r="B728" s="4">
        <v>40735</v>
      </c>
      <c r="C728" s="1" t="s">
        <v>176</v>
      </c>
      <c r="D728" s="1" t="s">
        <v>141</v>
      </c>
      <c r="E728" s="1">
        <v>1</v>
      </c>
      <c r="F728" s="1" t="s">
        <v>145</v>
      </c>
      <c r="G728" s="1">
        <v>76</v>
      </c>
    </row>
    <row r="729" spans="1:7">
      <c r="A729" s="1" t="s">
        <v>73</v>
      </c>
      <c r="B729" s="4">
        <v>40735</v>
      </c>
      <c r="C729" s="1" t="s">
        <v>176</v>
      </c>
      <c r="D729" s="1" t="s">
        <v>141</v>
      </c>
      <c r="E729" s="1">
        <v>2</v>
      </c>
      <c r="F729" s="1" t="s">
        <v>145</v>
      </c>
      <c r="G729" s="1">
        <v>33</v>
      </c>
    </row>
    <row r="730" spans="1:7">
      <c r="A730" s="1" t="s">
        <v>73</v>
      </c>
      <c r="B730" s="4">
        <v>40735</v>
      </c>
      <c r="C730" s="1" t="s">
        <v>176</v>
      </c>
      <c r="D730" s="1" t="s">
        <v>141</v>
      </c>
      <c r="E730" s="1">
        <v>2</v>
      </c>
      <c r="F730" s="1" t="s">
        <v>145</v>
      </c>
      <c r="G730" s="1">
        <v>33</v>
      </c>
    </row>
    <row r="731" spans="1:7">
      <c r="A731" s="1" t="s">
        <v>73</v>
      </c>
      <c r="B731" s="4">
        <v>40735</v>
      </c>
      <c r="C731" s="1" t="s">
        <v>176</v>
      </c>
      <c r="D731" s="1" t="s">
        <v>141</v>
      </c>
      <c r="E731" s="1">
        <v>2</v>
      </c>
      <c r="F731" s="1" t="s">
        <v>145</v>
      </c>
      <c r="G731" s="1">
        <v>52</v>
      </c>
    </row>
    <row r="732" spans="1:7">
      <c r="A732" s="1" t="s">
        <v>73</v>
      </c>
      <c r="B732" s="4">
        <v>40735</v>
      </c>
      <c r="C732" s="1" t="s">
        <v>176</v>
      </c>
      <c r="D732" s="1" t="s">
        <v>141</v>
      </c>
      <c r="E732" s="1">
        <v>2</v>
      </c>
      <c r="F732" s="1" t="s">
        <v>145</v>
      </c>
      <c r="G732" s="1">
        <v>73</v>
      </c>
    </row>
    <row r="733" spans="1:7">
      <c r="A733" s="1" t="s">
        <v>73</v>
      </c>
      <c r="B733" s="4">
        <v>40735</v>
      </c>
      <c r="C733" s="1" t="s">
        <v>176</v>
      </c>
      <c r="D733" s="1" t="s">
        <v>141</v>
      </c>
      <c r="E733" s="1">
        <v>2</v>
      </c>
      <c r="F733" s="1" t="s">
        <v>145</v>
      </c>
      <c r="G733" s="1">
        <v>52</v>
      </c>
    </row>
    <row r="734" spans="1:7">
      <c r="A734" s="1" t="s">
        <v>73</v>
      </c>
      <c r="B734" s="4">
        <v>40735</v>
      </c>
      <c r="C734" s="1" t="s">
        <v>176</v>
      </c>
      <c r="D734" s="1" t="s">
        <v>141</v>
      </c>
      <c r="E734" s="1">
        <v>2</v>
      </c>
      <c r="F734" s="1" t="s">
        <v>145</v>
      </c>
      <c r="G734" s="1">
        <v>48</v>
      </c>
    </row>
    <row r="735" spans="1:7">
      <c r="A735" s="1" t="s">
        <v>73</v>
      </c>
      <c r="B735" s="4">
        <v>40735</v>
      </c>
      <c r="C735" s="1" t="s">
        <v>176</v>
      </c>
      <c r="D735" s="1" t="s">
        <v>141</v>
      </c>
      <c r="E735" s="1">
        <v>2</v>
      </c>
      <c r="F735" s="1" t="s">
        <v>145</v>
      </c>
      <c r="G735" s="1">
        <v>28</v>
      </c>
    </row>
    <row r="736" spans="1:7">
      <c r="A736" s="1" t="s">
        <v>73</v>
      </c>
      <c r="B736" s="4">
        <v>40735</v>
      </c>
      <c r="C736" s="1" t="s">
        <v>176</v>
      </c>
      <c r="D736" s="1" t="s">
        <v>141</v>
      </c>
      <c r="E736" s="1">
        <v>2</v>
      </c>
      <c r="F736" s="1" t="s">
        <v>145</v>
      </c>
      <c r="G736" s="1">
        <v>27</v>
      </c>
    </row>
    <row r="737" spans="1:7">
      <c r="A737" s="1" t="s">
        <v>73</v>
      </c>
      <c r="B737" s="4">
        <v>40735</v>
      </c>
      <c r="C737" s="1" t="s">
        <v>176</v>
      </c>
      <c r="D737" s="1" t="s">
        <v>141</v>
      </c>
      <c r="E737" s="1">
        <v>2</v>
      </c>
      <c r="F737" s="1" t="s">
        <v>145</v>
      </c>
      <c r="G737" s="1">
        <v>56</v>
      </c>
    </row>
    <row r="738" spans="1:7">
      <c r="A738" s="1" t="s">
        <v>73</v>
      </c>
      <c r="B738" s="4">
        <v>40735</v>
      </c>
      <c r="C738" s="1" t="s">
        <v>176</v>
      </c>
      <c r="D738" s="1" t="s">
        <v>141</v>
      </c>
      <c r="E738" s="1">
        <v>2</v>
      </c>
      <c r="F738" s="1" t="s">
        <v>145</v>
      </c>
      <c r="G738" s="1">
        <v>56</v>
      </c>
    </row>
    <row r="739" spans="1:7">
      <c r="A739" s="1" t="s">
        <v>73</v>
      </c>
      <c r="B739" s="4">
        <v>40735</v>
      </c>
      <c r="C739" s="1" t="s">
        <v>176</v>
      </c>
      <c r="D739" s="1" t="s">
        <v>141</v>
      </c>
      <c r="E739" s="1">
        <v>2</v>
      </c>
      <c r="F739" s="1" t="s">
        <v>145</v>
      </c>
      <c r="G739" s="1">
        <v>72</v>
      </c>
    </row>
    <row r="740" spans="1:7">
      <c r="A740" s="1" t="s">
        <v>73</v>
      </c>
      <c r="B740" s="4">
        <v>40735</v>
      </c>
      <c r="C740" s="1" t="s">
        <v>176</v>
      </c>
      <c r="D740" s="1" t="s">
        <v>141</v>
      </c>
      <c r="E740" s="1">
        <v>2</v>
      </c>
      <c r="F740" s="1" t="s">
        <v>145</v>
      </c>
      <c r="G740" s="1">
        <v>73</v>
      </c>
    </row>
    <row r="741" spans="1:7">
      <c r="A741" s="1" t="s">
        <v>73</v>
      </c>
      <c r="B741" s="4">
        <v>40735</v>
      </c>
      <c r="C741" s="1" t="s">
        <v>176</v>
      </c>
      <c r="D741" s="1" t="s">
        <v>141</v>
      </c>
      <c r="E741" s="1">
        <v>2</v>
      </c>
      <c r="F741" s="1" t="s">
        <v>145</v>
      </c>
      <c r="G741" s="1">
        <v>131</v>
      </c>
    </row>
    <row r="742" spans="1:7">
      <c r="A742" s="1" t="s">
        <v>73</v>
      </c>
      <c r="B742" s="4">
        <v>40735</v>
      </c>
      <c r="C742" s="1" t="s">
        <v>176</v>
      </c>
      <c r="D742" s="1" t="s">
        <v>141</v>
      </c>
      <c r="E742" s="1">
        <v>2</v>
      </c>
      <c r="F742" s="1" t="s">
        <v>145</v>
      </c>
      <c r="G742" s="1">
        <v>56</v>
      </c>
    </row>
    <row r="743" spans="1:7">
      <c r="A743" s="1" t="s">
        <v>73</v>
      </c>
      <c r="B743" s="4">
        <v>40735</v>
      </c>
      <c r="C743" s="1" t="s">
        <v>176</v>
      </c>
      <c r="D743" s="1" t="s">
        <v>141</v>
      </c>
      <c r="E743" s="1">
        <v>2</v>
      </c>
      <c r="F743" s="1" t="s">
        <v>145</v>
      </c>
      <c r="G743" s="1">
        <v>54</v>
      </c>
    </row>
    <row r="744" spans="1:7">
      <c r="A744" s="1" t="s">
        <v>73</v>
      </c>
      <c r="B744" s="4">
        <v>40735</v>
      </c>
      <c r="C744" s="1" t="s">
        <v>176</v>
      </c>
      <c r="D744" s="1" t="s">
        <v>141</v>
      </c>
      <c r="E744" s="1">
        <v>2</v>
      </c>
      <c r="F744" s="1" t="s">
        <v>145</v>
      </c>
      <c r="G744" s="1">
        <v>31</v>
      </c>
    </row>
    <row r="745" spans="1:7">
      <c r="A745" s="1" t="s">
        <v>73</v>
      </c>
      <c r="B745" s="4">
        <v>40735</v>
      </c>
      <c r="C745" s="1" t="s">
        <v>176</v>
      </c>
      <c r="D745" s="1" t="s">
        <v>141</v>
      </c>
      <c r="E745" s="1">
        <v>2</v>
      </c>
      <c r="F745" s="1" t="s">
        <v>145</v>
      </c>
      <c r="G745" s="1">
        <v>31</v>
      </c>
    </row>
    <row r="746" spans="1:7">
      <c r="A746" s="1" t="s">
        <v>73</v>
      </c>
      <c r="B746" s="4">
        <v>40735</v>
      </c>
      <c r="C746" s="1" t="s">
        <v>176</v>
      </c>
      <c r="D746" s="1" t="s">
        <v>141</v>
      </c>
      <c r="E746" s="1">
        <v>2</v>
      </c>
      <c r="F746" s="1" t="s">
        <v>145</v>
      </c>
      <c r="G746" s="1">
        <v>32</v>
      </c>
    </row>
    <row r="747" spans="1:7">
      <c r="A747" s="1" t="s">
        <v>73</v>
      </c>
      <c r="B747" s="4">
        <v>40735</v>
      </c>
      <c r="C747" s="1" t="s">
        <v>176</v>
      </c>
      <c r="D747" s="1" t="s">
        <v>141</v>
      </c>
      <c r="E747" s="1">
        <v>2</v>
      </c>
      <c r="F747" s="1" t="s">
        <v>145</v>
      </c>
      <c r="G747" s="1">
        <v>71</v>
      </c>
    </row>
    <row r="748" spans="1:7">
      <c r="A748" s="1" t="s">
        <v>73</v>
      </c>
      <c r="B748" s="4">
        <v>40735</v>
      </c>
      <c r="C748" s="1" t="s">
        <v>176</v>
      </c>
      <c r="D748" s="1" t="s">
        <v>141</v>
      </c>
      <c r="E748" s="1">
        <v>2</v>
      </c>
      <c r="F748" s="1" t="s">
        <v>145</v>
      </c>
      <c r="G748" s="1">
        <v>81</v>
      </c>
    </row>
    <row r="749" spans="1:7">
      <c r="A749" s="1" t="s">
        <v>73</v>
      </c>
      <c r="B749" s="4">
        <v>40735</v>
      </c>
      <c r="C749" s="1" t="s">
        <v>176</v>
      </c>
      <c r="D749" s="1" t="s">
        <v>141</v>
      </c>
      <c r="E749" s="1">
        <v>2</v>
      </c>
      <c r="F749" s="1" t="s">
        <v>145</v>
      </c>
      <c r="G749" s="1">
        <v>73</v>
      </c>
    </row>
    <row r="750" spans="1:7">
      <c r="A750" s="1" t="s">
        <v>73</v>
      </c>
      <c r="B750" s="4">
        <v>40735</v>
      </c>
      <c r="C750" s="1" t="s">
        <v>176</v>
      </c>
      <c r="D750" s="1" t="s">
        <v>141</v>
      </c>
      <c r="E750" s="1">
        <v>2</v>
      </c>
      <c r="F750" s="1" t="s">
        <v>145</v>
      </c>
      <c r="G750" s="1">
        <v>87</v>
      </c>
    </row>
    <row r="751" spans="1:7">
      <c r="A751" s="1" t="s">
        <v>73</v>
      </c>
      <c r="B751" s="4">
        <v>40735</v>
      </c>
      <c r="C751" s="1" t="s">
        <v>176</v>
      </c>
      <c r="D751" s="1" t="s">
        <v>141</v>
      </c>
      <c r="E751" s="1">
        <v>2</v>
      </c>
      <c r="F751" s="1" t="s">
        <v>145</v>
      </c>
      <c r="G751" s="1">
        <v>93</v>
      </c>
    </row>
    <row r="752" spans="1:7">
      <c r="A752" s="1" t="s">
        <v>73</v>
      </c>
      <c r="B752" s="4">
        <v>40735</v>
      </c>
      <c r="C752" s="1" t="s">
        <v>176</v>
      </c>
      <c r="D752" s="1" t="s">
        <v>141</v>
      </c>
      <c r="E752" s="1">
        <v>2</v>
      </c>
      <c r="F752" s="1" t="s">
        <v>145</v>
      </c>
      <c r="G752" s="1">
        <v>96</v>
      </c>
    </row>
    <row r="753" spans="1:7">
      <c r="A753" s="1" t="s">
        <v>73</v>
      </c>
      <c r="B753" s="4">
        <v>40735</v>
      </c>
      <c r="C753" s="1" t="s">
        <v>176</v>
      </c>
      <c r="D753" s="1" t="s">
        <v>141</v>
      </c>
      <c r="E753" s="1">
        <v>2</v>
      </c>
      <c r="F753" s="1" t="s">
        <v>145</v>
      </c>
      <c r="G753" s="1">
        <v>104</v>
      </c>
    </row>
    <row r="754" spans="1:7">
      <c r="A754" s="1" t="s">
        <v>73</v>
      </c>
      <c r="B754" s="4">
        <v>40735</v>
      </c>
      <c r="C754" s="1" t="s">
        <v>176</v>
      </c>
      <c r="D754" s="1" t="s">
        <v>141</v>
      </c>
      <c r="E754" s="1">
        <v>2</v>
      </c>
      <c r="F754" s="1" t="s">
        <v>145</v>
      </c>
      <c r="G754" s="1">
        <v>29</v>
      </c>
    </row>
    <row r="755" spans="1:7">
      <c r="A755" s="1" t="s">
        <v>73</v>
      </c>
      <c r="B755" s="4">
        <v>40735</v>
      </c>
      <c r="C755" s="1" t="s">
        <v>176</v>
      </c>
      <c r="D755" s="1" t="s">
        <v>141</v>
      </c>
      <c r="E755" s="1">
        <v>2</v>
      </c>
      <c r="F755" s="1" t="s">
        <v>145</v>
      </c>
      <c r="G755" s="1">
        <v>28</v>
      </c>
    </row>
    <row r="756" spans="1:7">
      <c r="A756" s="1" t="s">
        <v>73</v>
      </c>
      <c r="B756" s="4">
        <v>40735</v>
      </c>
      <c r="C756" s="1" t="s">
        <v>176</v>
      </c>
      <c r="D756" s="1" t="s">
        <v>141</v>
      </c>
      <c r="E756" s="1">
        <v>2</v>
      </c>
      <c r="F756" s="1" t="s">
        <v>145</v>
      </c>
      <c r="G756" s="1">
        <v>32</v>
      </c>
    </row>
    <row r="757" spans="1:7">
      <c r="A757" s="1" t="s">
        <v>73</v>
      </c>
      <c r="B757" s="4">
        <v>40735</v>
      </c>
      <c r="C757" s="1" t="s">
        <v>176</v>
      </c>
      <c r="D757" s="1" t="s">
        <v>141</v>
      </c>
      <c r="E757" s="1">
        <v>2</v>
      </c>
      <c r="F757" s="1" t="s">
        <v>145</v>
      </c>
      <c r="G757" s="1">
        <v>29</v>
      </c>
    </row>
    <row r="758" spans="1:7">
      <c r="A758" s="1" t="s">
        <v>73</v>
      </c>
      <c r="B758" s="4">
        <v>40735</v>
      </c>
      <c r="C758" s="1" t="s">
        <v>176</v>
      </c>
      <c r="D758" s="1" t="s">
        <v>141</v>
      </c>
      <c r="E758" s="1">
        <v>2</v>
      </c>
      <c r="F758" s="1" t="s">
        <v>145</v>
      </c>
      <c r="G758" s="1">
        <v>31</v>
      </c>
    </row>
    <row r="759" spans="1:7">
      <c r="A759" s="1" t="s">
        <v>73</v>
      </c>
      <c r="B759" s="4">
        <v>40735</v>
      </c>
      <c r="C759" s="1" t="s">
        <v>176</v>
      </c>
      <c r="D759" s="1" t="s">
        <v>141</v>
      </c>
      <c r="E759" s="1">
        <v>2</v>
      </c>
      <c r="F759" s="1" t="s">
        <v>145</v>
      </c>
      <c r="G759" s="1">
        <v>30</v>
      </c>
    </row>
    <row r="760" spans="1:7">
      <c r="A760" s="1" t="s">
        <v>73</v>
      </c>
      <c r="B760" s="4">
        <v>40735</v>
      </c>
      <c r="C760" s="1" t="s">
        <v>176</v>
      </c>
      <c r="D760" s="1" t="s">
        <v>141</v>
      </c>
      <c r="E760" s="1">
        <v>2</v>
      </c>
      <c r="F760" s="1" t="s">
        <v>145</v>
      </c>
      <c r="G760" s="1">
        <v>31</v>
      </c>
    </row>
    <row r="761" spans="1:7">
      <c r="A761" s="1" t="s">
        <v>73</v>
      </c>
      <c r="B761" s="4">
        <v>40735</v>
      </c>
      <c r="C761" s="1" t="s">
        <v>176</v>
      </c>
      <c r="D761" s="1" t="s">
        <v>141</v>
      </c>
      <c r="E761" s="1">
        <v>2</v>
      </c>
      <c r="F761" s="1" t="s">
        <v>145</v>
      </c>
      <c r="G761" s="1">
        <v>28</v>
      </c>
    </row>
    <row r="762" spans="1:7">
      <c r="A762" s="1" t="s">
        <v>73</v>
      </c>
      <c r="B762" s="4">
        <v>40735</v>
      </c>
      <c r="C762" s="1" t="s">
        <v>176</v>
      </c>
      <c r="D762" s="1" t="s">
        <v>141</v>
      </c>
      <c r="E762" s="1">
        <v>2</v>
      </c>
      <c r="F762" s="1" t="s">
        <v>145</v>
      </c>
      <c r="G762" s="1">
        <v>32</v>
      </c>
    </row>
    <row r="763" spans="1:7">
      <c r="A763" s="1" t="s">
        <v>73</v>
      </c>
      <c r="B763" s="4">
        <v>40735</v>
      </c>
      <c r="C763" s="1" t="s">
        <v>176</v>
      </c>
      <c r="D763" s="1" t="s">
        <v>141</v>
      </c>
      <c r="E763" s="1">
        <v>2</v>
      </c>
      <c r="F763" s="1" t="s">
        <v>145</v>
      </c>
      <c r="G763" s="1">
        <v>28</v>
      </c>
    </row>
    <row r="764" spans="1:7">
      <c r="A764" s="1" t="s">
        <v>73</v>
      </c>
      <c r="B764" s="4">
        <v>40735</v>
      </c>
      <c r="C764" s="1" t="s">
        <v>176</v>
      </c>
      <c r="D764" s="1" t="s">
        <v>141</v>
      </c>
      <c r="E764" s="1">
        <v>2</v>
      </c>
      <c r="F764" s="1" t="s">
        <v>145</v>
      </c>
      <c r="G764" s="1">
        <v>28</v>
      </c>
    </row>
    <row r="765" spans="1:7">
      <c r="A765" s="1" t="s">
        <v>73</v>
      </c>
      <c r="B765" s="4">
        <v>40735</v>
      </c>
      <c r="C765" s="1" t="s">
        <v>176</v>
      </c>
      <c r="D765" s="1" t="s">
        <v>141</v>
      </c>
      <c r="E765" s="1">
        <v>2</v>
      </c>
      <c r="F765" s="1" t="s">
        <v>145</v>
      </c>
      <c r="G765" s="1">
        <v>28</v>
      </c>
    </row>
    <row r="766" spans="1:7">
      <c r="A766" s="1" t="s">
        <v>73</v>
      </c>
      <c r="B766" s="4">
        <v>40735</v>
      </c>
      <c r="C766" s="1" t="s">
        <v>176</v>
      </c>
      <c r="D766" s="1" t="s">
        <v>141</v>
      </c>
      <c r="E766" s="1">
        <v>2</v>
      </c>
      <c r="F766" s="1" t="s">
        <v>145</v>
      </c>
      <c r="G766" s="1">
        <v>27</v>
      </c>
    </row>
    <row r="767" spans="1:7">
      <c r="A767" s="1" t="s">
        <v>73</v>
      </c>
      <c r="B767" s="4">
        <v>40735</v>
      </c>
      <c r="C767" s="1" t="s">
        <v>176</v>
      </c>
      <c r="D767" s="1" t="s">
        <v>141</v>
      </c>
      <c r="E767" s="1">
        <v>2</v>
      </c>
      <c r="F767" s="1" t="s">
        <v>145</v>
      </c>
      <c r="G767" s="1">
        <v>29</v>
      </c>
    </row>
    <row r="768" spans="1:7">
      <c r="A768" s="1" t="s">
        <v>73</v>
      </c>
      <c r="B768" s="4">
        <v>40735</v>
      </c>
      <c r="C768" s="1" t="s">
        <v>176</v>
      </c>
      <c r="D768" s="1" t="s">
        <v>141</v>
      </c>
      <c r="E768" s="1">
        <v>2</v>
      </c>
      <c r="F768" s="1" t="s">
        <v>145</v>
      </c>
      <c r="G768" s="1">
        <v>29</v>
      </c>
    </row>
    <row r="769" spans="1:7">
      <c r="A769" s="1" t="s">
        <v>73</v>
      </c>
      <c r="B769" s="4">
        <v>40735</v>
      </c>
      <c r="C769" s="1" t="s">
        <v>176</v>
      </c>
      <c r="D769" s="1" t="s">
        <v>141</v>
      </c>
      <c r="E769" s="1">
        <v>2</v>
      </c>
      <c r="F769" s="1" t="s">
        <v>145</v>
      </c>
      <c r="G769" s="1">
        <v>31</v>
      </c>
    </row>
    <row r="770" spans="1:7">
      <c r="A770" s="1" t="s">
        <v>73</v>
      </c>
      <c r="B770" s="4">
        <v>40735</v>
      </c>
      <c r="C770" s="1" t="s">
        <v>176</v>
      </c>
      <c r="D770" s="1" t="s">
        <v>141</v>
      </c>
      <c r="E770" s="1">
        <v>2</v>
      </c>
      <c r="F770" s="1" t="s">
        <v>145</v>
      </c>
      <c r="G770" s="1">
        <v>62</v>
      </c>
    </row>
    <row r="771" spans="1:7">
      <c r="A771" s="1" t="s">
        <v>73</v>
      </c>
      <c r="B771" s="4">
        <v>40735</v>
      </c>
      <c r="C771" s="1" t="s">
        <v>176</v>
      </c>
      <c r="D771" s="1" t="s">
        <v>141</v>
      </c>
      <c r="E771" s="1">
        <v>2</v>
      </c>
      <c r="F771" s="1" t="s">
        <v>145</v>
      </c>
      <c r="G771" s="1">
        <v>50</v>
      </c>
    </row>
    <row r="772" spans="1:7">
      <c r="A772" s="1" t="s">
        <v>73</v>
      </c>
      <c r="B772" s="4">
        <v>40735</v>
      </c>
      <c r="C772" s="1" t="s">
        <v>176</v>
      </c>
      <c r="D772" s="1" t="s">
        <v>141</v>
      </c>
      <c r="E772" s="1">
        <v>2</v>
      </c>
      <c r="F772" s="1" t="s">
        <v>145</v>
      </c>
      <c r="G772" s="1">
        <v>55</v>
      </c>
    </row>
    <row r="773" spans="1:7">
      <c r="A773" s="1" t="s">
        <v>73</v>
      </c>
      <c r="B773" s="4">
        <v>40735</v>
      </c>
      <c r="C773" s="1" t="s">
        <v>176</v>
      </c>
      <c r="D773" s="1" t="s">
        <v>141</v>
      </c>
      <c r="E773" s="1">
        <v>2</v>
      </c>
      <c r="F773" s="1" t="s">
        <v>145</v>
      </c>
      <c r="G773" s="1">
        <v>77</v>
      </c>
    </row>
    <row r="774" spans="1:7">
      <c r="A774" s="1" t="s">
        <v>73</v>
      </c>
      <c r="B774" s="4">
        <v>40735</v>
      </c>
      <c r="C774" s="1" t="s">
        <v>176</v>
      </c>
      <c r="D774" s="1" t="s">
        <v>141</v>
      </c>
      <c r="E774" s="1">
        <v>2</v>
      </c>
      <c r="F774" s="1" t="s">
        <v>145</v>
      </c>
      <c r="G774" s="1">
        <v>71</v>
      </c>
    </row>
    <row r="775" spans="1:7">
      <c r="A775" s="1" t="s">
        <v>73</v>
      </c>
      <c r="B775" s="4">
        <v>40735</v>
      </c>
      <c r="C775" s="1" t="s">
        <v>176</v>
      </c>
      <c r="D775" s="1" t="s">
        <v>147</v>
      </c>
      <c r="E775" s="1">
        <v>1</v>
      </c>
      <c r="F775" s="1" t="s">
        <v>145</v>
      </c>
      <c r="G775" s="1">
        <v>30</v>
      </c>
    </row>
    <row r="776" spans="1:7">
      <c r="A776" s="1" t="s">
        <v>73</v>
      </c>
      <c r="B776" s="4">
        <v>40735</v>
      </c>
      <c r="C776" s="1" t="s">
        <v>176</v>
      </c>
      <c r="D776" s="1" t="s">
        <v>147</v>
      </c>
      <c r="E776" s="1">
        <v>1</v>
      </c>
      <c r="F776" s="1" t="s">
        <v>145</v>
      </c>
      <c r="G776" s="1">
        <v>55</v>
      </c>
    </row>
    <row r="777" spans="1:7">
      <c r="A777" s="1" t="s">
        <v>73</v>
      </c>
      <c r="B777" s="4">
        <v>40735</v>
      </c>
      <c r="C777" s="1" t="s">
        <v>176</v>
      </c>
      <c r="D777" s="1" t="s">
        <v>147</v>
      </c>
      <c r="E777" s="1">
        <v>1</v>
      </c>
      <c r="F777" s="1" t="s">
        <v>145</v>
      </c>
      <c r="G777" s="1">
        <v>56</v>
      </c>
    </row>
    <row r="778" spans="1:7">
      <c r="A778" s="1" t="s">
        <v>73</v>
      </c>
      <c r="B778" s="4">
        <v>40735</v>
      </c>
      <c r="C778" s="1" t="s">
        <v>176</v>
      </c>
      <c r="D778" s="1" t="s">
        <v>147</v>
      </c>
      <c r="E778" s="1">
        <v>1</v>
      </c>
      <c r="F778" s="1" t="s">
        <v>145</v>
      </c>
      <c r="G778" s="1">
        <v>58</v>
      </c>
    </row>
    <row r="779" spans="1:7">
      <c r="A779" s="1" t="s">
        <v>73</v>
      </c>
      <c r="B779" s="4">
        <v>40735</v>
      </c>
      <c r="C779" s="1" t="s">
        <v>176</v>
      </c>
      <c r="D779" s="1" t="s">
        <v>147</v>
      </c>
      <c r="E779" s="1">
        <v>1</v>
      </c>
      <c r="F779" s="1" t="s">
        <v>145</v>
      </c>
      <c r="G779" s="1">
        <v>56</v>
      </c>
    </row>
    <row r="780" spans="1:7">
      <c r="A780" s="1" t="s">
        <v>73</v>
      </c>
      <c r="B780" s="4">
        <v>40735</v>
      </c>
      <c r="C780" s="1" t="s">
        <v>176</v>
      </c>
      <c r="D780" s="1" t="s">
        <v>147</v>
      </c>
      <c r="E780" s="1">
        <v>1</v>
      </c>
      <c r="F780" s="1" t="s">
        <v>145</v>
      </c>
      <c r="G780" s="1">
        <v>66</v>
      </c>
    </row>
    <row r="781" spans="1:7">
      <c r="A781" s="1" t="s">
        <v>73</v>
      </c>
      <c r="B781" s="4">
        <v>40735</v>
      </c>
      <c r="C781" s="1" t="s">
        <v>176</v>
      </c>
      <c r="D781" s="1" t="s">
        <v>147</v>
      </c>
      <c r="E781" s="1">
        <v>1</v>
      </c>
      <c r="F781" s="1" t="s">
        <v>145</v>
      </c>
      <c r="G781" s="1">
        <v>30</v>
      </c>
    </row>
    <row r="782" spans="1:7">
      <c r="A782" s="1" t="s">
        <v>73</v>
      </c>
      <c r="B782" s="4">
        <v>40735</v>
      </c>
      <c r="C782" s="1" t="s">
        <v>176</v>
      </c>
      <c r="D782" s="1" t="s">
        <v>147</v>
      </c>
      <c r="E782" s="1">
        <v>1</v>
      </c>
      <c r="F782" s="1" t="s">
        <v>145</v>
      </c>
      <c r="G782" s="1">
        <v>37</v>
      </c>
    </row>
    <row r="783" spans="1:7">
      <c r="A783" s="1" t="s">
        <v>73</v>
      </c>
      <c r="B783" s="4">
        <v>40735</v>
      </c>
      <c r="C783" s="1" t="s">
        <v>176</v>
      </c>
      <c r="D783" s="1" t="s">
        <v>147</v>
      </c>
      <c r="E783" s="1">
        <v>1</v>
      </c>
      <c r="F783" s="1" t="s">
        <v>145</v>
      </c>
      <c r="G783" s="1">
        <v>32</v>
      </c>
    </row>
    <row r="784" spans="1:7">
      <c r="A784" s="1" t="s">
        <v>73</v>
      </c>
      <c r="B784" s="4">
        <v>40735</v>
      </c>
      <c r="C784" s="1" t="s">
        <v>176</v>
      </c>
      <c r="D784" s="1" t="s">
        <v>147</v>
      </c>
      <c r="E784" s="1">
        <v>1</v>
      </c>
      <c r="F784" s="1" t="s">
        <v>145</v>
      </c>
      <c r="G784" s="1">
        <v>80</v>
      </c>
    </row>
    <row r="785" spans="1:7">
      <c r="A785" s="1" t="s">
        <v>73</v>
      </c>
      <c r="B785" s="4">
        <v>40735</v>
      </c>
      <c r="C785" s="1" t="s">
        <v>176</v>
      </c>
      <c r="D785" s="1" t="s">
        <v>147</v>
      </c>
      <c r="E785" s="1">
        <v>1</v>
      </c>
      <c r="F785" s="1" t="s">
        <v>145</v>
      </c>
      <c r="G785" s="1">
        <v>33</v>
      </c>
    </row>
    <row r="786" spans="1:7">
      <c r="A786" s="1" t="s">
        <v>73</v>
      </c>
      <c r="B786" s="4">
        <v>40735</v>
      </c>
      <c r="C786" s="1" t="s">
        <v>176</v>
      </c>
      <c r="D786" s="1" t="s">
        <v>147</v>
      </c>
      <c r="E786" s="1">
        <v>1</v>
      </c>
      <c r="F786" s="1" t="s">
        <v>145</v>
      </c>
      <c r="G786" s="1">
        <v>29</v>
      </c>
    </row>
    <row r="787" spans="1:7">
      <c r="A787" s="1" t="s">
        <v>73</v>
      </c>
      <c r="B787" s="4">
        <v>40735</v>
      </c>
      <c r="C787" s="1" t="s">
        <v>176</v>
      </c>
      <c r="D787" s="1" t="s">
        <v>147</v>
      </c>
      <c r="E787" s="1">
        <v>1</v>
      </c>
      <c r="F787" s="1" t="s">
        <v>145</v>
      </c>
      <c r="G787" s="1">
        <v>28</v>
      </c>
    </row>
    <row r="788" spans="1:7">
      <c r="A788" s="1" t="s">
        <v>73</v>
      </c>
      <c r="B788" s="4">
        <v>40735</v>
      </c>
      <c r="C788" s="1" t="s">
        <v>176</v>
      </c>
      <c r="D788" s="1" t="s">
        <v>147</v>
      </c>
      <c r="E788" s="1">
        <v>1</v>
      </c>
      <c r="F788" s="1" t="s">
        <v>145</v>
      </c>
      <c r="G788" s="1">
        <v>74</v>
      </c>
    </row>
    <row r="789" spans="1:7">
      <c r="A789" s="1" t="s">
        <v>73</v>
      </c>
      <c r="B789" s="4">
        <v>40735</v>
      </c>
      <c r="C789" s="1" t="s">
        <v>176</v>
      </c>
      <c r="D789" s="1" t="s">
        <v>147</v>
      </c>
      <c r="E789" s="1">
        <v>1</v>
      </c>
      <c r="F789" s="1" t="s">
        <v>145</v>
      </c>
      <c r="G789" s="1">
        <v>76</v>
      </c>
    </row>
    <row r="790" spans="1:7">
      <c r="A790" s="1" t="s">
        <v>73</v>
      </c>
      <c r="B790" s="4">
        <v>40735</v>
      </c>
      <c r="C790" s="1" t="s">
        <v>176</v>
      </c>
      <c r="D790" s="1" t="s">
        <v>147</v>
      </c>
      <c r="E790" s="1">
        <v>1</v>
      </c>
      <c r="F790" s="1" t="s">
        <v>145</v>
      </c>
      <c r="G790" s="1">
        <v>90</v>
      </c>
    </row>
    <row r="791" spans="1:7">
      <c r="A791" s="1" t="s">
        <v>73</v>
      </c>
      <c r="B791" s="4">
        <v>40735</v>
      </c>
      <c r="C791" s="1" t="s">
        <v>176</v>
      </c>
      <c r="D791" s="1" t="s">
        <v>147</v>
      </c>
      <c r="E791" s="1">
        <v>1</v>
      </c>
      <c r="F791" s="1" t="s">
        <v>145</v>
      </c>
      <c r="G791" s="1">
        <v>100</v>
      </c>
    </row>
    <row r="792" spans="1:7">
      <c r="A792" s="1" t="s">
        <v>73</v>
      </c>
      <c r="B792" s="4">
        <v>40735</v>
      </c>
      <c r="C792" s="1" t="s">
        <v>176</v>
      </c>
      <c r="D792" s="1" t="s">
        <v>147</v>
      </c>
      <c r="E792" s="1">
        <v>1</v>
      </c>
      <c r="F792" s="1" t="s">
        <v>145</v>
      </c>
      <c r="G792" s="1">
        <v>101</v>
      </c>
    </row>
    <row r="793" spans="1:7">
      <c r="A793" s="1" t="s">
        <v>73</v>
      </c>
      <c r="B793" s="4">
        <v>40735</v>
      </c>
      <c r="C793" s="1" t="s">
        <v>176</v>
      </c>
      <c r="D793" s="1" t="s">
        <v>147</v>
      </c>
      <c r="E793" s="1">
        <v>1</v>
      </c>
      <c r="F793" s="1" t="s">
        <v>145</v>
      </c>
      <c r="G793" s="1">
        <v>62</v>
      </c>
    </row>
    <row r="794" spans="1:7">
      <c r="A794" s="1" t="s">
        <v>73</v>
      </c>
      <c r="B794" s="4">
        <v>40735</v>
      </c>
      <c r="C794" s="1" t="s">
        <v>176</v>
      </c>
      <c r="D794" s="1" t="s">
        <v>147</v>
      </c>
      <c r="E794" s="1">
        <v>1</v>
      </c>
      <c r="F794" s="1" t="s">
        <v>145</v>
      </c>
      <c r="G794" s="1">
        <v>60</v>
      </c>
    </row>
    <row r="795" spans="1:7">
      <c r="A795" s="1" t="s">
        <v>73</v>
      </c>
      <c r="B795" s="4">
        <v>40735</v>
      </c>
      <c r="C795" s="1" t="s">
        <v>176</v>
      </c>
      <c r="D795" s="1" t="s">
        <v>147</v>
      </c>
      <c r="E795" s="1">
        <v>1</v>
      </c>
      <c r="F795" s="1" t="s">
        <v>145</v>
      </c>
      <c r="G795" s="1">
        <v>75</v>
      </c>
    </row>
    <row r="796" spans="1:7">
      <c r="A796" s="1" t="s">
        <v>73</v>
      </c>
      <c r="B796" s="4">
        <v>40735</v>
      </c>
      <c r="C796" s="1" t="s">
        <v>176</v>
      </c>
      <c r="D796" s="1" t="s">
        <v>147</v>
      </c>
      <c r="E796" s="1">
        <v>1</v>
      </c>
      <c r="F796" s="1" t="s">
        <v>145</v>
      </c>
      <c r="G796" s="1">
        <v>58</v>
      </c>
    </row>
    <row r="797" spans="1:7">
      <c r="A797" s="1" t="s">
        <v>73</v>
      </c>
      <c r="B797" s="4">
        <v>40735</v>
      </c>
      <c r="C797" s="1" t="s">
        <v>176</v>
      </c>
      <c r="D797" s="1" t="s">
        <v>147</v>
      </c>
      <c r="E797" s="1">
        <v>1</v>
      </c>
      <c r="F797" s="1" t="s">
        <v>145</v>
      </c>
      <c r="G797" s="1">
        <v>89</v>
      </c>
    </row>
    <row r="798" spans="1:7">
      <c r="A798" s="1" t="s">
        <v>73</v>
      </c>
      <c r="B798" s="4">
        <v>40735</v>
      </c>
      <c r="C798" s="1" t="s">
        <v>176</v>
      </c>
      <c r="D798" s="1" t="s">
        <v>147</v>
      </c>
      <c r="E798" s="1">
        <v>1</v>
      </c>
      <c r="F798" s="1" t="s">
        <v>145</v>
      </c>
      <c r="G798" s="1">
        <v>78</v>
      </c>
    </row>
    <row r="799" spans="1:7">
      <c r="A799" s="1" t="s">
        <v>73</v>
      </c>
      <c r="B799" s="4">
        <v>40735</v>
      </c>
      <c r="C799" s="1" t="s">
        <v>176</v>
      </c>
      <c r="D799" s="1" t="s">
        <v>147</v>
      </c>
      <c r="E799" s="1">
        <v>1</v>
      </c>
      <c r="F799" s="1" t="s">
        <v>145</v>
      </c>
      <c r="G799" s="1">
        <v>99</v>
      </c>
    </row>
    <row r="800" spans="1:7">
      <c r="A800" s="1" t="s">
        <v>73</v>
      </c>
      <c r="B800" s="4">
        <v>40735</v>
      </c>
      <c r="C800" s="1" t="s">
        <v>176</v>
      </c>
      <c r="D800" s="1" t="s">
        <v>147</v>
      </c>
      <c r="E800" s="1">
        <v>1</v>
      </c>
      <c r="F800" s="1" t="s">
        <v>145</v>
      </c>
      <c r="G800" s="1">
        <v>121</v>
      </c>
    </row>
    <row r="801" spans="1:7">
      <c r="A801" s="1" t="s">
        <v>73</v>
      </c>
      <c r="B801" s="4">
        <v>40735</v>
      </c>
      <c r="C801" s="1" t="s">
        <v>176</v>
      </c>
      <c r="D801" s="1" t="s">
        <v>147</v>
      </c>
      <c r="E801" s="1">
        <v>1</v>
      </c>
      <c r="F801" s="1" t="s">
        <v>145</v>
      </c>
      <c r="G801" s="1">
        <v>95</v>
      </c>
    </row>
    <row r="802" spans="1:7">
      <c r="A802" s="1" t="s">
        <v>73</v>
      </c>
      <c r="B802" s="4">
        <v>40735</v>
      </c>
      <c r="C802" s="1" t="s">
        <v>176</v>
      </c>
      <c r="D802" s="1" t="s">
        <v>147</v>
      </c>
      <c r="E802" s="1">
        <v>1</v>
      </c>
      <c r="F802" s="1" t="s">
        <v>145</v>
      </c>
      <c r="G802" s="1">
        <v>30</v>
      </c>
    </row>
    <row r="803" spans="1:7">
      <c r="A803" s="1" t="s">
        <v>73</v>
      </c>
      <c r="B803" s="4">
        <v>40735</v>
      </c>
      <c r="C803" s="1" t="s">
        <v>176</v>
      </c>
      <c r="D803" s="1" t="s">
        <v>147</v>
      </c>
      <c r="E803" s="1">
        <v>1</v>
      </c>
      <c r="F803" s="1" t="s">
        <v>145</v>
      </c>
      <c r="G803" s="1">
        <v>28</v>
      </c>
    </row>
    <row r="804" spans="1:7">
      <c r="A804" s="1" t="s">
        <v>73</v>
      </c>
      <c r="B804" s="4">
        <v>40735</v>
      </c>
      <c r="C804" s="1" t="s">
        <v>176</v>
      </c>
      <c r="D804" s="1" t="s">
        <v>147</v>
      </c>
      <c r="E804" s="1">
        <v>1</v>
      </c>
      <c r="F804" s="1" t="s">
        <v>145</v>
      </c>
      <c r="G804" s="1">
        <v>31</v>
      </c>
    </row>
    <row r="805" spans="1:7">
      <c r="A805" s="1" t="s">
        <v>73</v>
      </c>
      <c r="B805" s="4">
        <v>40735</v>
      </c>
      <c r="C805" s="1" t="s">
        <v>176</v>
      </c>
      <c r="D805" s="1" t="s">
        <v>147</v>
      </c>
      <c r="E805" s="1">
        <v>1</v>
      </c>
      <c r="F805" s="1" t="s">
        <v>145</v>
      </c>
      <c r="G805" s="1">
        <v>32</v>
      </c>
    </row>
    <row r="806" spans="1:7">
      <c r="A806" s="1" t="s">
        <v>73</v>
      </c>
      <c r="B806" s="4">
        <v>40735</v>
      </c>
      <c r="C806" s="1" t="s">
        <v>176</v>
      </c>
      <c r="D806" s="1" t="s">
        <v>147</v>
      </c>
      <c r="E806" s="1">
        <v>1</v>
      </c>
      <c r="F806" s="1" t="s">
        <v>145</v>
      </c>
      <c r="G806" s="1">
        <v>30</v>
      </c>
    </row>
    <row r="807" spans="1:7">
      <c r="A807" s="1" t="s">
        <v>73</v>
      </c>
      <c r="B807" s="4">
        <v>40735</v>
      </c>
      <c r="C807" s="1" t="s">
        <v>176</v>
      </c>
      <c r="D807" s="1" t="s">
        <v>147</v>
      </c>
      <c r="E807" s="1">
        <v>1</v>
      </c>
      <c r="F807" s="1" t="s">
        <v>145</v>
      </c>
      <c r="G807" s="1">
        <v>34</v>
      </c>
    </row>
    <row r="808" spans="1:7">
      <c r="A808" s="1" t="s">
        <v>73</v>
      </c>
      <c r="B808" s="4">
        <v>40735</v>
      </c>
      <c r="C808" s="1" t="s">
        <v>176</v>
      </c>
      <c r="D808" s="1" t="s">
        <v>147</v>
      </c>
      <c r="E808" s="1">
        <v>1</v>
      </c>
      <c r="F808" s="1" t="s">
        <v>145</v>
      </c>
      <c r="G808" s="1">
        <v>77</v>
      </c>
    </row>
    <row r="809" spans="1:7">
      <c r="A809" s="1" t="s">
        <v>73</v>
      </c>
      <c r="B809" s="4">
        <v>40735</v>
      </c>
      <c r="C809" s="1" t="s">
        <v>176</v>
      </c>
      <c r="D809" s="1" t="s">
        <v>147</v>
      </c>
      <c r="E809" s="1">
        <v>1</v>
      </c>
      <c r="F809" s="1" t="s">
        <v>145</v>
      </c>
      <c r="G809" s="1">
        <v>75</v>
      </c>
    </row>
    <row r="810" spans="1:7">
      <c r="A810" s="1" t="s">
        <v>73</v>
      </c>
      <c r="B810" s="4">
        <v>40735</v>
      </c>
      <c r="C810" s="1" t="s">
        <v>176</v>
      </c>
      <c r="D810" s="1" t="s">
        <v>147</v>
      </c>
      <c r="E810" s="1">
        <v>1</v>
      </c>
      <c r="F810" s="1" t="s">
        <v>145</v>
      </c>
      <c r="G810" s="1">
        <v>62</v>
      </c>
    </row>
    <row r="811" spans="1:7">
      <c r="A811" s="1" t="s">
        <v>73</v>
      </c>
      <c r="B811" s="4">
        <v>40735</v>
      </c>
      <c r="C811" s="1" t="s">
        <v>176</v>
      </c>
      <c r="D811" s="1" t="s">
        <v>147</v>
      </c>
      <c r="E811" s="1">
        <v>1</v>
      </c>
      <c r="F811" s="1" t="s">
        <v>145</v>
      </c>
      <c r="G811" s="1">
        <v>52</v>
      </c>
    </row>
    <row r="812" spans="1:7">
      <c r="A812" s="1" t="s">
        <v>73</v>
      </c>
      <c r="B812" s="4">
        <v>40735</v>
      </c>
      <c r="C812" s="1" t="s">
        <v>176</v>
      </c>
      <c r="D812" s="1" t="s">
        <v>147</v>
      </c>
      <c r="E812" s="1">
        <v>1</v>
      </c>
      <c r="F812" s="1" t="s">
        <v>145</v>
      </c>
      <c r="G812" s="1">
        <v>85</v>
      </c>
    </row>
    <row r="813" spans="1:7">
      <c r="A813" s="1" t="s">
        <v>73</v>
      </c>
      <c r="B813" s="4">
        <v>40735</v>
      </c>
      <c r="C813" s="1" t="s">
        <v>176</v>
      </c>
      <c r="D813" s="1" t="s">
        <v>147</v>
      </c>
      <c r="E813" s="1">
        <v>1</v>
      </c>
      <c r="F813" s="1" t="s">
        <v>145</v>
      </c>
      <c r="G813" s="1">
        <v>140</v>
      </c>
    </row>
    <row r="814" spans="1:7">
      <c r="A814" s="1" t="s">
        <v>73</v>
      </c>
      <c r="B814" s="4">
        <v>40735</v>
      </c>
      <c r="C814" s="1" t="s">
        <v>176</v>
      </c>
      <c r="D814" s="1" t="s">
        <v>147</v>
      </c>
      <c r="E814" s="1">
        <v>1</v>
      </c>
      <c r="F814" s="1" t="s">
        <v>145</v>
      </c>
      <c r="G814" s="1">
        <v>61</v>
      </c>
    </row>
    <row r="815" spans="1:7">
      <c r="A815" s="1" t="s">
        <v>73</v>
      </c>
      <c r="B815" s="4">
        <v>40735</v>
      </c>
      <c r="C815" s="1" t="s">
        <v>176</v>
      </c>
      <c r="D815" s="1" t="s">
        <v>147</v>
      </c>
      <c r="E815" s="1">
        <v>1</v>
      </c>
      <c r="F815" s="1" t="s">
        <v>145</v>
      </c>
      <c r="G815" s="1">
        <v>31</v>
      </c>
    </row>
    <row r="816" spans="1:7">
      <c r="A816" s="1" t="s">
        <v>73</v>
      </c>
      <c r="B816" s="4">
        <v>40735</v>
      </c>
      <c r="C816" s="1" t="s">
        <v>176</v>
      </c>
      <c r="D816" s="1" t="s">
        <v>147</v>
      </c>
      <c r="E816" s="1">
        <v>1</v>
      </c>
      <c r="F816" s="1" t="s">
        <v>145</v>
      </c>
      <c r="G816" s="1">
        <v>65</v>
      </c>
    </row>
    <row r="817" spans="1:7">
      <c r="A817" s="1" t="s">
        <v>73</v>
      </c>
      <c r="B817" s="4">
        <v>40735</v>
      </c>
      <c r="C817" s="1" t="s">
        <v>176</v>
      </c>
      <c r="D817" s="1" t="s">
        <v>147</v>
      </c>
      <c r="E817" s="1">
        <v>1</v>
      </c>
      <c r="F817" s="1" t="s">
        <v>145</v>
      </c>
      <c r="G817" s="1">
        <v>31</v>
      </c>
    </row>
    <row r="818" spans="1:7">
      <c r="A818" s="1" t="s">
        <v>73</v>
      </c>
      <c r="B818" s="4">
        <v>40735</v>
      </c>
      <c r="C818" s="1" t="s">
        <v>176</v>
      </c>
      <c r="D818" s="1" t="s">
        <v>147</v>
      </c>
      <c r="E818" s="1">
        <v>1</v>
      </c>
      <c r="F818" s="1" t="s">
        <v>145</v>
      </c>
      <c r="G818" s="1">
        <v>60</v>
      </c>
    </row>
    <row r="819" spans="1:7">
      <c r="A819" s="1" t="s">
        <v>73</v>
      </c>
      <c r="B819" s="4">
        <v>40735</v>
      </c>
      <c r="C819" s="1" t="s">
        <v>176</v>
      </c>
      <c r="D819" s="1" t="s">
        <v>147</v>
      </c>
      <c r="E819" s="1">
        <v>1</v>
      </c>
      <c r="F819" s="1" t="s">
        <v>145</v>
      </c>
      <c r="G819" s="1">
        <v>55</v>
      </c>
    </row>
    <row r="820" spans="1:7">
      <c r="A820" s="1" t="s">
        <v>73</v>
      </c>
      <c r="B820" s="4">
        <v>40735</v>
      </c>
      <c r="C820" s="1" t="s">
        <v>176</v>
      </c>
      <c r="D820" s="1" t="s">
        <v>147</v>
      </c>
      <c r="E820" s="1">
        <v>1</v>
      </c>
      <c r="F820" s="1" t="s">
        <v>145</v>
      </c>
      <c r="G820" s="1">
        <v>32</v>
      </c>
    </row>
    <row r="821" spans="1:7">
      <c r="A821" s="1" t="s">
        <v>73</v>
      </c>
      <c r="B821" s="4">
        <v>40735</v>
      </c>
      <c r="C821" s="1" t="s">
        <v>176</v>
      </c>
      <c r="D821" s="1" t="s">
        <v>147</v>
      </c>
      <c r="E821" s="1">
        <v>1</v>
      </c>
      <c r="F821" s="1" t="s">
        <v>145</v>
      </c>
      <c r="G821" s="1">
        <v>57</v>
      </c>
    </row>
    <row r="822" spans="1:7">
      <c r="A822" s="1" t="s">
        <v>73</v>
      </c>
      <c r="B822" s="4">
        <v>40735</v>
      </c>
      <c r="C822" s="1" t="s">
        <v>176</v>
      </c>
      <c r="D822" s="1" t="s">
        <v>147</v>
      </c>
      <c r="E822" s="1">
        <v>1</v>
      </c>
      <c r="F822" s="1" t="s">
        <v>145</v>
      </c>
      <c r="G822" s="1">
        <v>52</v>
      </c>
    </row>
    <row r="823" spans="1:7">
      <c r="A823" s="1" t="s">
        <v>73</v>
      </c>
      <c r="B823" s="4">
        <v>40735</v>
      </c>
      <c r="C823" s="1" t="s">
        <v>176</v>
      </c>
      <c r="D823" s="1" t="s">
        <v>147</v>
      </c>
      <c r="E823" s="1">
        <v>1</v>
      </c>
      <c r="F823" s="1" t="s">
        <v>145</v>
      </c>
      <c r="G823" s="1">
        <v>90</v>
      </c>
    </row>
    <row r="824" spans="1:7">
      <c r="A824" s="1" t="s">
        <v>73</v>
      </c>
      <c r="B824" s="4">
        <v>40735</v>
      </c>
      <c r="C824" s="1" t="s">
        <v>176</v>
      </c>
      <c r="D824" s="1" t="s">
        <v>147</v>
      </c>
      <c r="E824" s="1">
        <v>1</v>
      </c>
      <c r="F824" s="1" t="s">
        <v>145</v>
      </c>
      <c r="G824" s="1">
        <v>36</v>
      </c>
    </row>
    <row r="825" spans="1:7">
      <c r="A825" s="1" t="s">
        <v>73</v>
      </c>
      <c r="B825" s="4">
        <v>40735</v>
      </c>
      <c r="C825" s="1" t="s">
        <v>176</v>
      </c>
      <c r="D825" s="1" t="s">
        <v>147</v>
      </c>
      <c r="E825" s="1">
        <v>1</v>
      </c>
      <c r="F825" s="1" t="s">
        <v>145</v>
      </c>
      <c r="G825" s="1">
        <v>33</v>
      </c>
    </row>
    <row r="826" spans="1:7">
      <c r="A826" s="1" t="s">
        <v>73</v>
      </c>
      <c r="B826" s="4">
        <v>40735</v>
      </c>
      <c r="C826" s="1" t="s">
        <v>176</v>
      </c>
      <c r="D826" s="1" t="s">
        <v>147</v>
      </c>
      <c r="E826" s="1">
        <v>1</v>
      </c>
      <c r="F826" s="1" t="s">
        <v>145</v>
      </c>
      <c r="G826" s="1">
        <v>29</v>
      </c>
    </row>
    <row r="827" spans="1:7">
      <c r="A827" s="1" t="s">
        <v>73</v>
      </c>
      <c r="B827" s="4">
        <v>40735</v>
      </c>
      <c r="C827" s="1" t="s">
        <v>176</v>
      </c>
      <c r="D827" s="1" t="s">
        <v>147</v>
      </c>
      <c r="E827" s="1">
        <v>1</v>
      </c>
      <c r="F827" s="1" t="s">
        <v>145</v>
      </c>
      <c r="G827" s="1">
        <v>60</v>
      </c>
    </row>
    <row r="828" spans="1:7">
      <c r="A828" s="1" t="s">
        <v>73</v>
      </c>
      <c r="B828" s="4">
        <v>40735</v>
      </c>
      <c r="C828" s="1" t="s">
        <v>176</v>
      </c>
      <c r="D828" s="1" t="s">
        <v>147</v>
      </c>
      <c r="E828" s="1">
        <v>1</v>
      </c>
      <c r="F828" s="1" t="s">
        <v>145</v>
      </c>
      <c r="G828" s="1">
        <v>32</v>
      </c>
    </row>
    <row r="829" spans="1:7">
      <c r="A829" s="1" t="s">
        <v>73</v>
      </c>
      <c r="B829" s="4">
        <v>40735</v>
      </c>
      <c r="C829" s="1" t="s">
        <v>176</v>
      </c>
      <c r="D829" s="1" t="s">
        <v>147</v>
      </c>
      <c r="E829" s="1">
        <v>1</v>
      </c>
      <c r="F829" s="1" t="s">
        <v>145</v>
      </c>
      <c r="G829" s="1">
        <v>32</v>
      </c>
    </row>
    <row r="830" spans="1:7">
      <c r="A830" s="1" t="s">
        <v>73</v>
      </c>
      <c r="B830" s="4">
        <v>40735</v>
      </c>
      <c r="C830" s="1" t="s">
        <v>176</v>
      </c>
      <c r="D830" s="1" t="s">
        <v>147</v>
      </c>
      <c r="E830" s="1">
        <v>1</v>
      </c>
      <c r="F830" s="1" t="s">
        <v>145</v>
      </c>
      <c r="G830" s="1">
        <v>31</v>
      </c>
    </row>
    <row r="831" spans="1:7">
      <c r="A831" s="1" t="s">
        <v>73</v>
      </c>
      <c r="B831" s="4">
        <v>40735</v>
      </c>
      <c r="C831" s="1" t="s">
        <v>176</v>
      </c>
      <c r="D831" s="1" t="s">
        <v>147</v>
      </c>
      <c r="E831" s="1">
        <v>1</v>
      </c>
      <c r="F831" s="1" t="s">
        <v>145</v>
      </c>
      <c r="G831" s="1">
        <v>34</v>
      </c>
    </row>
    <row r="832" spans="1:7">
      <c r="A832" s="1" t="s">
        <v>73</v>
      </c>
      <c r="B832" s="4">
        <v>40735</v>
      </c>
      <c r="C832" s="1" t="s">
        <v>176</v>
      </c>
      <c r="D832" s="1" t="s">
        <v>147</v>
      </c>
      <c r="E832" s="1">
        <v>1</v>
      </c>
      <c r="F832" s="1" t="s">
        <v>145</v>
      </c>
      <c r="G832" s="1">
        <v>26</v>
      </c>
    </row>
    <row r="833" spans="1:7">
      <c r="A833" s="1" t="s">
        <v>73</v>
      </c>
      <c r="B833" s="4">
        <v>40735</v>
      </c>
      <c r="C833" s="1" t="s">
        <v>176</v>
      </c>
      <c r="D833" s="1" t="s">
        <v>147</v>
      </c>
      <c r="E833" s="1">
        <v>1</v>
      </c>
      <c r="F833" s="1" t="s">
        <v>145</v>
      </c>
      <c r="G833" s="1">
        <v>70</v>
      </c>
    </row>
    <row r="834" spans="1:7">
      <c r="A834" s="1" t="s">
        <v>73</v>
      </c>
      <c r="B834" s="4">
        <v>40735</v>
      </c>
      <c r="C834" s="1" t="s">
        <v>176</v>
      </c>
      <c r="D834" s="1" t="s">
        <v>147</v>
      </c>
      <c r="E834" s="1">
        <v>1</v>
      </c>
      <c r="F834" s="1" t="s">
        <v>145</v>
      </c>
      <c r="G834" s="1">
        <v>55</v>
      </c>
    </row>
    <row r="835" spans="1:7">
      <c r="A835" s="1" t="s">
        <v>73</v>
      </c>
      <c r="B835" s="4">
        <v>40735</v>
      </c>
      <c r="C835" s="1" t="s">
        <v>176</v>
      </c>
      <c r="D835" s="1" t="s">
        <v>147</v>
      </c>
      <c r="E835" s="1">
        <v>1</v>
      </c>
      <c r="F835" s="1" t="s">
        <v>145</v>
      </c>
      <c r="G835" s="1">
        <v>48</v>
      </c>
    </row>
    <row r="836" spans="1:7">
      <c r="A836" s="1" t="s">
        <v>73</v>
      </c>
      <c r="B836" s="4">
        <v>40735</v>
      </c>
      <c r="C836" s="1" t="s">
        <v>176</v>
      </c>
      <c r="D836" s="1" t="s">
        <v>147</v>
      </c>
      <c r="E836" s="1">
        <v>1</v>
      </c>
      <c r="F836" s="1" t="s">
        <v>145</v>
      </c>
      <c r="G836" s="1">
        <v>56</v>
      </c>
    </row>
    <row r="837" spans="1:7">
      <c r="A837" s="1" t="s">
        <v>73</v>
      </c>
      <c r="B837" s="4">
        <v>40735</v>
      </c>
      <c r="C837" s="1" t="s">
        <v>176</v>
      </c>
      <c r="D837" s="1" t="s">
        <v>147</v>
      </c>
      <c r="E837" s="1">
        <v>1</v>
      </c>
      <c r="F837" s="1" t="s">
        <v>145</v>
      </c>
      <c r="G837" s="1">
        <v>31</v>
      </c>
    </row>
    <row r="838" spans="1:7">
      <c r="A838" s="1" t="s">
        <v>73</v>
      </c>
      <c r="B838" s="4">
        <v>40735</v>
      </c>
      <c r="C838" s="1" t="s">
        <v>176</v>
      </c>
      <c r="D838" s="1" t="s">
        <v>147</v>
      </c>
      <c r="E838" s="1">
        <v>1</v>
      </c>
      <c r="F838" s="1" t="s">
        <v>145</v>
      </c>
      <c r="G838" s="1">
        <v>29</v>
      </c>
    </row>
    <row r="839" spans="1:7">
      <c r="A839" s="1" t="s">
        <v>73</v>
      </c>
      <c r="B839" s="4">
        <v>40735</v>
      </c>
      <c r="C839" s="1" t="s">
        <v>176</v>
      </c>
      <c r="D839" s="1" t="s">
        <v>147</v>
      </c>
      <c r="E839" s="1">
        <v>1</v>
      </c>
      <c r="F839" s="1" t="s">
        <v>145</v>
      </c>
      <c r="G839" s="1">
        <v>33</v>
      </c>
    </row>
    <row r="840" spans="1:7">
      <c r="A840" s="1" t="s">
        <v>73</v>
      </c>
      <c r="B840" s="4">
        <v>40735</v>
      </c>
      <c r="C840" s="1" t="s">
        <v>176</v>
      </c>
      <c r="D840" s="1" t="s">
        <v>147</v>
      </c>
      <c r="E840" s="1">
        <v>1</v>
      </c>
      <c r="F840" s="1" t="s">
        <v>145</v>
      </c>
      <c r="G840" s="1">
        <v>36</v>
      </c>
    </row>
    <row r="841" spans="1:7">
      <c r="A841" s="1" t="s">
        <v>73</v>
      </c>
      <c r="B841" s="4">
        <v>40735</v>
      </c>
      <c r="C841" s="1" t="s">
        <v>176</v>
      </c>
      <c r="D841" s="1" t="s">
        <v>147</v>
      </c>
      <c r="E841" s="1">
        <v>1</v>
      </c>
      <c r="F841" s="1" t="s">
        <v>145</v>
      </c>
      <c r="G841" s="1">
        <v>55</v>
      </c>
    </row>
    <row r="842" spans="1:7">
      <c r="A842" s="1" t="s">
        <v>73</v>
      </c>
      <c r="B842" s="4">
        <v>40735</v>
      </c>
      <c r="C842" s="1" t="s">
        <v>176</v>
      </c>
      <c r="D842" s="1" t="s">
        <v>147</v>
      </c>
      <c r="E842" s="1">
        <v>1</v>
      </c>
      <c r="F842" s="1" t="s">
        <v>145</v>
      </c>
      <c r="G842" s="1">
        <v>32</v>
      </c>
    </row>
    <row r="843" spans="1:7">
      <c r="A843" s="1" t="s">
        <v>73</v>
      </c>
      <c r="B843" s="4">
        <v>40735</v>
      </c>
      <c r="C843" s="1" t="s">
        <v>176</v>
      </c>
      <c r="D843" s="1" t="s">
        <v>147</v>
      </c>
      <c r="E843" s="1">
        <v>1</v>
      </c>
      <c r="F843" s="1" t="s">
        <v>145</v>
      </c>
      <c r="G843" s="1">
        <v>34</v>
      </c>
    </row>
    <row r="844" spans="1:7">
      <c r="A844" s="1" t="s">
        <v>73</v>
      </c>
      <c r="B844" s="4">
        <v>40735</v>
      </c>
      <c r="C844" s="1" t="s">
        <v>176</v>
      </c>
      <c r="D844" s="1" t="s">
        <v>147</v>
      </c>
      <c r="E844" s="1">
        <v>1</v>
      </c>
      <c r="F844" s="1" t="s">
        <v>145</v>
      </c>
      <c r="G844" s="1">
        <v>35</v>
      </c>
    </row>
    <row r="845" spans="1:7">
      <c r="A845" s="1" t="s">
        <v>73</v>
      </c>
      <c r="B845" s="4">
        <v>40735</v>
      </c>
      <c r="C845" s="1" t="s">
        <v>176</v>
      </c>
      <c r="D845" s="1" t="s">
        <v>147</v>
      </c>
      <c r="E845" s="1">
        <v>1</v>
      </c>
      <c r="F845" s="1" t="s">
        <v>145</v>
      </c>
      <c r="G845" s="1">
        <v>31</v>
      </c>
    </row>
    <row r="846" spans="1:7">
      <c r="A846" s="1" t="s">
        <v>73</v>
      </c>
      <c r="B846" s="4">
        <v>40735</v>
      </c>
      <c r="C846" s="1" t="s">
        <v>176</v>
      </c>
      <c r="D846" s="1" t="s">
        <v>147</v>
      </c>
      <c r="E846" s="1">
        <v>1</v>
      </c>
      <c r="F846" s="1" t="s">
        <v>145</v>
      </c>
      <c r="G846" s="1">
        <v>32</v>
      </c>
    </row>
    <row r="847" spans="1:7">
      <c r="A847" s="1" t="s">
        <v>73</v>
      </c>
      <c r="B847" s="4">
        <v>40735</v>
      </c>
      <c r="C847" s="1" t="s">
        <v>176</v>
      </c>
      <c r="D847" s="1" t="s">
        <v>147</v>
      </c>
      <c r="E847" s="1">
        <v>1</v>
      </c>
      <c r="F847" s="1" t="s">
        <v>145</v>
      </c>
      <c r="G847" s="1">
        <v>31</v>
      </c>
    </row>
    <row r="848" spans="1:7">
      <c r="A848" s="1" t="s">
        <v>73</v>
      </c>
      <c r="B848" s="4">
        <v>40735</v>
      </c>
      <c r="C848" s="1" t="s">
        <v>176</v>
      </c>
      <c r="D848" s="1" t="s">
        <v>147</v>
      </c>
      <c r="E848" s="1">
        <v>1</v>
      </c>
      <c r="F848" s="1" t="s">
        <v>145</v>
      </c>
      <c r="G848" s="1">
        <v>31</v>
      </c>
    </row>
    <row r="849" spans="1:7">
      <c r="A849" s="1" t="s">
        <v>73</v>
      </c>
      <c r="B849" s="4">
        <v>40735</v>
      </c>
      <c r="C849" s="1" t="s">
        <v>176</v>
      </c>
      <c r="D849" s="1" t="s">
        <v>147</v>
      </c>
      <c r="E849" s="1">
        <v>1</v>
      </c>
      <c r="F849" s="1" t="s">
        <v>145</v>
      </c>
      <c r="G849" s="1">
        <v>29</v>
      </c>
    </row>
    <row r="850" spans="1:7">
      <c r="A850" s="1" t="s">
        <v>73</v>
      </c>
      <c r="B850" s="4">
        <v>40735</v>
      </c>
      <c r="C850" s="1" t="s">
        <v>176</v>
      </c>
      <c r="D850" s="1" t="s">
        <v>147</v>
      </c>
      <c r="E850" s="1">
        <v>1</v>
      </c>
      <c r="F850" s="1" t="s">
        <v>145</v>
      </c>
      <c r="G850" s="1">
        <v>32</v>
      </c>
    </row>
    <row r="851" spans="1:7">
      <c r="A851" s="1" t="s">
        <v>73</v>
      </c>
      <c r="B851" s="4">
        <v>40735</v>
      </c>
      <c r="C851" s="1" t="s">
        <v>176</v>
      </c>
      <c r="D851" s="1" t="s">
        <v>147</v>
      </c>
      <c r="E851" s="1">
        <v>1</v>
      </c>
      <c r="F851" s="1" t="s">
        <v>145</v>
      </c>
      <c r="G851" s="1">
        <v>33</v>
      </c>
    </row>
    <row r="852" spans="1:7">
      <c r="A852" s="1" t="s">
        <v>73</v>
      </c>
      <c r="B852" s="4">
        <v>40735</v>
      </c>
      <c r="C852" s="1" t="s">
        <v>176</v>
      </c>
      <c r="D852" s="1" t="s">
        <v>147</v>
      </c>
      <c r="E852" s="1">
        <v>1</v>
      </c>
      <c r="F852" s="1" t="s">
        <v>145</v>
      </c>
      <c r="G852" s="1">
        <v>28</v>
      </c>
    </row>
    <row r="853" spans="1:7">
      <c r="A853" s="1" t="s">
        <v>73</v>
      </c>
      <c r="B853" s="4">
        <v>40735</v>
      </c>
      <c r="C853" s="1" t="s">
        <v>176</v>
      </c>
      <c r="D853" s="1" t="s">
        <v>147</v>
      </c>
      <c r="E853" s="1">
        <v>1</v>
      </c>
      <c r="F853" s="1" t="s">
        <v>145</v>
      </c>
      <c r="G853" s="1">
        <v>34</v>
      </c>
    </row>
    <row r="854" spans="1:7">
      <c r="A854" s="1" t="s">
        <v>73</v>
      </c>
      <c r="B854" s="4">
        <v>40735</v>
      </c>
      <c r="C854" s="1" t="s">
        <v>176</v>
      </c>
      <c r="D854" s="1" t="s">
        <v>147</v>
      </c>
      <c r="E854" s="1">
        <v>1</v>
      </c>
      <c r="F854" s="1" t="s">
        <v>145</v>
      </c>
      <c r="G854" s="1">
        <v>32</v>
      </c>
    </row>
    <row r="855" spans="1:7">
      <c r="A855" s="1" t="s">
        <v>73</v>
      </c>
      <c r="B855" s="4">
        <v>40735</v>
      </c>
      <c r="C855" s="1" t="s">
        <v>176</v>
      </c>
      <c r="D855" s="1" t="s">
        <v>147</v>
      </c>
      <c r="E855" s="1">
        <v>2</v>
      </c>
      <c r="F855" s="1" t="s">
        <v>145</v>
      </c>
      <c r="G855" s="1">
        <v>29</v>
      </c>
    </row>
    <row r="856" spans="1:7">
      <c r="A856" s="1" t="s">
        <v>73</v>
      </c>
      <c r="B856" s="4">
        <v>40735</v>
      </c>
      <c r="C856" s="1" t="s">
        <v>176</v>
      </c>
      <c r="D856" s="1" t="s">
        <v>147</v>
      </c>
      <c r="E856" s="1">
        <v>2</v>
      </c>
      <c r="F856" s="1" t="s">
        <v>145</v>
      </c>
      <c r="G856" s="1">
        <v>30</v>
      </c>
    </row>
    <row r="857" spans="1:7">
      <c r="A857" s="1" t="s">
        <v>73</v>
      </c>
      <c r="B857" s="4">
        <v>40735</v>
      </c>
      <c r="C857" s="1" t="s">
        <v>176</v>
      </c>
      <c r="D857" s="1" t="s">
        <v>147</v>
      </c>
      <c r="E857" s="1">
        <v>2</v>
      </c>
      <c r="F857" s="1" t="s">
        <v>145</v>
      </c>
      <c r="G857" s="1">
        <v>58</v>
      </c>
    </row>
    <row r="858" spans="1:7">
      <c r="A858" s="1" t="s">
        <v>73</v>
      </c>
      <c r="B858" s="4">
        <v>40735</v>
      </c>
      <c r="C858" s="1" t="s">
        <v>176</v>
      </c>
      <c r="D858" s="1" t="s">
        <v>147</v>
      </c>
      <c r="E858" s="1">
        <v>2</v>
      </c>
      <c r="F858" s="1" t="s">
        <v>145</v>
      </c>
      <c r="G858" s="1">
        <v>56</v>
      </c>
    </row>
    <row r="859" spans="1:7">
      <c r="A859" s="1" t="s">
        <v>73</v>
      </c>
      <c r="B859" s="4">
        <v>40735</v>
      </c>
      <c r="C859" s="1" t="s">
        <v>176</v>
      </c>
      <c r="D859" s="1" t="s">
        <v>147</v>
      </c>
      <c r="E859" s="1">
        <v>2</v>
      </c>
      <c r="F859" s="1" t="s">
        <v>145</v>
      </c>
      <c r="G859" s="1">
        <v>59</v>
      </c>
    </row>
    <row r="860" spans="1:7">
      <c r="A860" s="1" t="s">
        <v>73</v>
      </c>
      <c r="B860" s="4">
        <v>40735</v>
      </c>
      <c r="C860" s="1" t="s">
        <v>176</v>
      </c>
      <c r="D860" s="1" t="s">
        <v>147</v>
      </c>
      <c r="E860" s="1">
        <v>2</v>
      </c>
      <c r="F860" s="1" t="s">
        <v>145</v>
      </c>
      <c r="G860" s="1">
        <v>66</v>
      </c>
    </row>
    <row r="861" spans="1:7">
      <c r="A861" s="1" t="s">
        <v>73</v>
      </c>
      <c r="B861" s="4">
        <v>40735</v>
      </c>
      <c r="C861" s="1" t="s">
        <v>176</v>
      </c>
      <c r="D861" s="1" t="s">
        <v>147</v>
      </c>
      <c r="E861" s="1">
        <v>2</v>
      </c>
      <c r="F861" s="1" t="s">
        <v>145</v>
      </c>
      <c r="G861" s="1">
        <v>97</v>
      </c>
    </row>
    <row r="862" spans="1:7">
      <c r="A862" s="1" t="s">
        <v>73</v>
      </c>
      <c r="B862" s="4">
        <v>40735</v>
      </c>
      <c r="C862" s="1" t="s">
        <v>176</v>
      </c>
      <c r="D862" s="1" t="s">
        <v>147</v>
      </c>
      <c r="E862" s="1">
        <v>2</v>
      </c>
      <c r="F862" s="1" t="s">
        <v>145</v>
      </c>
      <c r="G862" s="1">
        <v>120</v>
      </c>
    </row>
    <row r="863" spans="1:7">
      <c r="A863" s="1" t="s">
        <v>73</v>
      </c>
      <c r="B863" s="4">
        <v>40735</v>
      </c>
      <c r="C863" s="1" t="s">
        <v>176</v>
      </c>
      <c r="D863" s="1" t="s">
        <v>147</v>
      </c>
      <c r="E863" s="1">
        <v>2</v>
      </c>
      <c r="F863" s="1" t="s">
        <v>145</v>
      </c>
      <c r="G863" s="1">
        <v>121</v>
      </c>
    </row>
    <row r="864" spans="1:7">
      <c r="A864" s="1" t="s">
        <v>73</v>
      </c>
      <c r="B864" s="4">
        <v>40735</v>
      </c>
      <c r="C864" s="1" t="s">
        <v>176</v>
      </c>
      <c r="D864" s="1" t="s">
        <v>147</v>
      </c>
      <c r="E864" s="1">
        <v>2</v>
      </c>
      <c r="F864" s="1" t="s">
        <v>145</v>
      </c>
      <c r="G864" s="1">
        <v>32</v>
      </c>
    </row>
    <row r="865" spans="1:7">
      <c r="A865" s="1" t="s">
        <v>73</v>
      </c>
      <c r="B865" s="4">
        <v>40735</v>
      </c>
      <c r="C865" s="1" t="s">
        <v>176</v>
      </c>
      <c r="D865" s="1" t="s">
        <v>147</v>
      </c>
      <c r="E865" s="1">
        <v>2</v>
      </c>
      <c r="F865" s="1" t="s">
        <v>145</v>
      </c>
      <c r="G865" s="1">
        <v>49</v>
      </c>
    </row>
    <row r="866" spans="1:7">
      <c r="A866" s="1" t="s">
        <v>73</v>
      </c>
      <c r="B866" s="4">
        <v>40735</v>
      </c>
      <c r="C866" s="1" t="s">
        <v>176</v>
      </c>
      <c r="D866" s="1" t="s">
        <v>147</v>
      </c>
      <c r="E866" s="1">
        <v>2</v>
      </c>
      <c r="F866" s="1" t="s">
        <v>145</v>
      </c>
      <c r="G866" s="1">
        <v>33</v>
      </c>
    </row>
    <row r="867" spans="1:7">
      <c r="A867" s="1" t="s">
        <v>73</v>
      </c>
      <c r="B867" s="4">
        <v>40735</v>
      </c>
      <c r="C867" s="1" t="s">
        <v>176</v>
      </c>
      <c r="D867" s="1" t="s">
        <v>147</v>
      </c>
      <c r="E867" s="1">
        <v>2</v>
      </c>
      <c r="F867" s="1" t="s">
        <v>145</v>
      </c>
      <c r="G867" s="1">
        <v>54</v>
      </c>
    </row>
    <row r="868" spans="1:7">
      <c r="A868" s="1" t="s">
        <v>73</v>
      </c>
      <c r="B868" s="4">
        <v>40735</v>
      </c>
      <c r="C868" s="1" t="s">
        <v>176</v>
      </c>
      <c r="D868" s="1" t="s">
        <v>147</v>
      </c>
      <c r="E868" s="1">
        <v>2</v>
      </c>
      <c r="F868" s="1" t="s">
        <v>145</v>
      </c>
      <c r="G868" s="1">
        <v>74</v>
      </c>
    </row>
    <row r="869" spans="1:7">
      <c r="A869" s="1" t="s">
        <v>73</v>
      </c>
      <c r="B869" s="4">
        <v>40735</v>
      </c>
      <c r="C869" s="1" t="s">
        <v>176</v>
      </c>
      <c r="D869" s="1" t="s">
        <v>147</v>
      </c>
      <c r="E869" s="1">
        <v>2</v>
      </c>
      <c r="F869" s="1" t="s">
        <v>145</v>
      </c>
      <c r="G869" s="1">
        <v>55</v>
      </c>
    </row>
    <row r="870" spans="1:7">
      <c r="A870" s="1" t="s">
        <v>73</v>
      </c>
      <c r="B870" s="4">
        <v>40735</v>
      </c>
      <c r="C870" s="1" t="s">
        <v>176</v>
      </c>
      <c r="D870" s="1" t="s">
        <v>147</v>
      </c>
      <c r="E870" s="1">
        <v>2</v>
      </c>
      <c r="F870" s="1" t="s">
        <v>145</v>
      </c>
      <c r="G870" s="1">
        <v>79</v>
      </c>
    </row>
    <row r="871" spans="1:7">
      <c r="A871" s="1" t="s">
        <v>73</v>
      </c>
      <c r="B871" s="4">
        <v>40735</v>
      </c>
      <c r="C871" s="1" t="s">
        <v>176</v>
      </c>
      <c r="D871" s="1" t="s">
        <v>147</v>
      </c>
      <c r="E871" s="1">
        <v>2</v>
      </c>
      <c r="F871" s="1" t="s">
        <v>145</v>
      </c>
      <c r="G871" s="1">
        <v>85</v>
      </c>
    </row>
    <row r="872" spans="1:7">
      <c r="A872" s="1" t="s">
        <v>73</v>
      </c>
      <c r="B872" s="4">
        <v>40735</v>
      </c>
      <c r="C872" s="1" t="s">
        <v>176</v>
      </c>
      <c r="D872" s="1" t="s">
        <v>147</v>
      </c>
      <c r="E872" s="1">
        <v>2</v>
      </c>
      <c r="F872" s="1" t="s">
        <v>145</v>
      </c>
      <c r="G872" s="1">
        <v>84</v>
      </c>
    </row>
    <row r="873" spans="1:7">
      <c r="A873" s="1" t="s">
        <v>73</v>
      </c>
      <c r="B873" s="4">
        <v>40735</v>
      </c>
      <c r="C873" s="1" t="s">
        <v>176</v>
      </c>
      <c r="D873" s="1" t="s">
        <v>147</v>
      </c>
      <c r="E873" s="1">
        <v>2</v>
      </c>
      <c r="F873" s="1" t="s">
        <v>145</v>
      </c>
      <c r="G873" s="1">
        <v>98</v>
      </c>
    </row>
    <row r="874" spans="1:7">
      <c r="A874" s="1" t="s">
        <v>73</v>
      </c>
      <c r="B874" s="4">
        <v>40735</v>
      </c>
      <c r="C874" s="1" t="s">
        <v>176</v>
      </c>
      <c r="D874" s="1" t="s">
        <v>147</v>
      </c>
      <c r="E874" s="1">
        <v>2</v>
      </c>
      <c r="F874" s="1" t="s">
        <v>145</v>
      </c>
      <c r="G874" s="1">
        <v>98</v>
      </c>
    </row>
    <row r="875" spans="1:7">
      <c r="A875" s="1" t="s">
        <v>73</v>
      </c>
      <c r="B875" s="4">
        <v>40735</v>
      </c>
      <c r="C875" s="1" t="s">
        <v>176</v>
      </c>
      <c r="D875" s="1" t="s">
        <v>147</v>
      </c>
      <c r="E875" s="1">
        <v>2</v>
      </c>
      <c r="F875" s="1" t="s">
        <v>145</v>
      </c>
      <c r="G875" s="1">
        <v>34</v>
      </c>
    </row>
    <row r="876" spans="1:7">
      <c r="A876" s="1" t="s">
        <v>73</v>
      </c>
      <c r="B876" s="4">
        <v>40735</v>
      </c>
      <c r="C876" s="1" t="s">
        <v>176</v>
      </c>
      <c r="D876" s="1" t="s">
        <v>147</v>
      </c>
      <c r="E876" s="1">
        <v>2</v>
      </c>
      <c r="F876" s="1" t="s">
        <v>145</v>
      </c>
      <c r="G876" s="1">
        <v>28</v>
      </c>
    </row>
    <row r="877" spans="1:7">
      <c r="A877" s="1" t="s">
        <v>73</v>
      </c>
      <c r="B877" s="4">
        <v>40735</v>
      </c>
      <c r="C877" s="1" t="s">
        <v>176</v>
      </c>
      <c r="D877" s="1" t="s">
        <v>147</v>
      </c>
      <c r="E877" s="1">
        <v>2</v>
      </c>
      <c r="F877" s="1" t="s">
        <v>145</v>
      </c>
      <c r="G877" s="1">
        <v>32</v>
      </c>
    </row>
    <row r="878" spans="1:7">
      <c r="A878" s="1" t="s">
        <v>73</v>
      </c>
      <c r="B878" s="4">
        <v>40735</v>
      </c>
      <c r="C878" s="1" t="s">
        <v>176</v>
      </c>
      <c r="D878" s="1" t="s">
        <v>147</v>
      </c>
      <c r="E878" s="1">
        <v>2</v>
      </c>
      <c r="F878" s="1" t="s">
        <v>145</v>
      </c>
      <c r="G878" s="1">
        <v>31</v>
      </c>
    </row>
    <row r="879" spans="1:7">
      <c r="A879" s="1" t="s">
        <v>73</v>
      </c>
      <c r="B879" s="4">
        <v>40735</v>
      </c>
      <c r="C879" s="1" t="s">
        <v>176</v>
      </c>
      <c r="D879" s="1" t="s">
        <v>147</v>
      </c>
      <c r="E879" s="1">
        <v>2</v>
      </c>
      <c r="F879" s="1" t="s">
        <v>145</v>
      </c>
      <c r="G879" s="1">
        <v>27</v>
      </c>
    </row>
    <row r="880" spans="1:7">
      <c r="A880" s="1" t="s">
        <v>73</v>
      </c>
      <c r="B880" s="4">
        <v>40735</v>
      </c>
      <c r="C880" s="1" t="s">
        <v>176</v>
      </c>
      <c r="D880" s="1" t="s">
        <v>147</v>
      </c>
      <c r="E880" s="1">
        <v>2</v>
      </c>
      <c r="F880" s="1" t="s">
        <v>145</v>
      </c>
      <c r="G880" s="1">
        <v>27</v>
      </c>
    </row>
    <row r="881" spans="1:7">
      <c r="A881" s="1" t="s">
        <v>73</v>
      </c>
      <c r="B881" s="4">
        <v>40735</v>
      </c>
      <c r="C881" s="1" t="s">
        <v>176</v>
      </c>
      <c r="D881" s="1" t="s">
        <v>147</v>
      </c>
      <c r="E881" s="1">
        <v>2</v>
      </c>
      <c r="F881" s="1" t="s">
        <v>145</v>
      </c>
      <c r="G881" s="1">
        <v>31</v>
      </c>
    </row>
    <row r="882" spans="1:7">
      <c r="A882" s="1" t="s">
        <v>73</v>
      </c>
      <c r="B882" s="4">
        <v>40735</v>
      </c>
      <c r="C882" s="1" t="s">
        <v>176</v>
      </c>
      <c r="D882" s="1" t="s">
        <v>147</v>
      </c>
      <c r="E882" s="1">
        <v>2</v>
      </c>
      <c r="F882" s="1" t="s">
        <v>145</v>
      </c>
      <c r="G882" s="1">
        <v>26</v>
      </c>
    </row>
    <row r="883" spans="1:7">
      <c r="A883" s="1" t="s">
        <v>73</v>
      </c>
      <c r="B883" s="4">
        <v>40735</v>
      </c>
      <c r="C883" s="1" t="s">
        <v>176</v>
      </c>
      <c r="D883" s="1" t="s">
        <v>147</v>
      </c>
      <c r="E883" s="1">
        <v>2</v>
      </c>
      <c r="F883" s="1" t="s">
        <v>145</v>
      </c>
      <c r="G883" s="1">
        <v>32</v>
      </c>
    </row>
    <row r="884" spans="1:7">
      <c r="A884" s="1" t="s">
        <v>73</v>
      </c>
      <c r="B884" s="4">
        <v>40735</v>
      </c>
      <c r="C884" s="1" t="s">
        <v>176</v>
      </c>
      <c r="D884" s="1" t="s">
        <v>147</v>
      </c>
      <c r="E884" s="1">
        <v>2</v>
      </c>
      <c r="F884" s="1" t="s">
        <v>145</v>
      </c>
      <c r="G884" s="1">
        <v>33</v>
      </c>
    </row>
    <row r="885" spans="1:7">
      <c r="A885" s="1" t="s">
        <v>73</v>
      </c>
      <c r="B885" s="4">
        <v>40735</v>
      </c>
      <c r="C885" s="1" t="s">
        <v>176</v>
      </c>
      <c r="D885" s="1" t="s">
        <v>147</v>
      </c>
      <c r="E885" s="1">
        <v>2</v>
      </c>
      <c r="F885" s="1" t="s">
        <v>145</v>
      </c>
      <c r="G885" s="1">
        <v>29</v>
      </c>
    </row>
    <row r="886" spans="1:7">
      <c r="A886" s="1" t="s">
        <v>73</v>
      </c>
      <c r="B886" s="4">
        <v>40735</v>
      </c>
      <c r="C886" s="1" t="s">
        <v>176</v>
      </c>
      <c r="D886" s="1" t="s">
        <v>147</v>
      </c>
      <c r="E886" s="1">
        <v>2</v>
      </c>
      <c r="F886" s="1" t="s">
        <v>145</v>
      </c>
      <c r="G886" s="1">
        <v>50</v>
      </c>
    </row>
    <row r="887" spans="1:7">
      <c r="A887" s="1" t="s">
        <v>73</v>
      </c>
      <c r="B887" s="4">
        <v>40735</v>
      </c>
      <c r="C887" s="1" t="s">
        <v>176</v>
      </c>
      <c r="D887" s="1" t="s">
        <v>147</v>
      </c>
      <c r="E887" s="1">
        <v>2</v>
      </c>
      <c r="F887" s="1" t="s">
        <v>145</v>
      </c>
      <c r="G887" s="1">
        <v>55</v>
      </c>
    </row>
    <row r="888" spans="1:7">
      <c r="A888" s="1" t="s">
        <v>73</v>
      </c>
      <c r="B888" s="4">
        <v>40735</v>
      </c>
      <c r="C888" s="1" t="s">
        <v>176</v>
      </c>
      <c r="D888" s="1" t="s">
        <v>147</v>
      </c>
      <c r="E888" s="1">
        <v>2</v>
      </c>
      <c r="F888" s="1" t="s">
        <v>145</v>
      </c>
      <c r="G888" s="1">
        <v>54</v>
      </c>
    </row>
    <row r="889" spans="1:7">
      <c r="A889" s="1" t="s">
        <v>73</v>
      </c>
      <c r="B889" s="4">
        <v>40735</v>
      </c>
      <c r="C889" s="1" t="s">
        <v>176</v>
      </c>
      <c r="D889" s="1" t="s">
        <v>147</v>
      </c>
      <c r="E889" s="1">
        <v>2</v>
      </c>
      <c r="F889" s="1" t="s">
        <v>145</v>
      </c>
      <c r="G889" s="1">
        <v>69</v>
      </c>
    </row>
    <row r="890" spans="1:7">
      <c r="A890" s="1" t="s">
        <v>73</v>
      </c>
      <c r="B890" s="4">
        <v>40735</v>
      </c>
      <c r="C890" s="1" t="s">
        <v>176</v>
      </c>
      <c r="D890" s="1" t="s">
        <v>150</v>
      </c>
      <c r="E890" s="1">
        <v>1</v>
      </c>
      <c r="F890" s="1" t="s">
        <v>145</v>
      </c>
      <c r="G890" s="1">
        <v>31</v>
      </c>
    </row>
    <row r="891" spans="1:7">
      <c r="A891" s="1" t="s">
        <v>73</v>
      </c>
      <c r="B891" s="4">
        <v>40735</v>
      </c>
      <c r="C891" s="1" t="s">
        <v>176</v>
      </c>
      <c r="D891" s="1" t="s">
        <v>150</v>
      </c>
      <c r="E891" s="1">
        <v>1</v>
      </c>
      <c r="F891" s="1" t="s">
        <v>145</v>
      </c>
      <c r="G891" s="1">
        <v>89</v>
      </c>
    </row>
    <row r="892" spans="1:7">
      <c r="A892" s="1" t="s">
        <v>73</v>
      </c>
      <c r="B892" s="4">
        <v>40735</v>
      </c>
      <c r="C892" s="1" t="s">
        <v>176</v>
      </c>
      <c r="D892" s="1" t="s">
        <v>150</v>
      </c>
      <c r="E892" s="1">
        <v>1</v>
      </c>
      <c r="F892" s="1" t="s">
        <v>145</v>
      </c>
      <c r="G892" s="1">
        <v>137</v>
      </c>
    </row>
    <row r="893" spans="1:7">
      <c r="A893" s="1" t="s">
        <v>73</v>
      </c>
      <c r="B893" s="4">
        <v>40735</v>
      </c>
      <c r="C893" s="1" t="s">
        <v>176</v>
      </c>
      <c r="D893" s="1" t="s">
        <v>150</v>
      </c>
      <c r="E893" s="1">
        <v>1</v>
      </c>
      <c r="F893" s="1" t="s">
        <v>145</v>
      </c>
      <c r="G893" s="1">
        <v>50</v>
      </c>
    </row>
    <row r="894" spans="1:7">
      <c r="A894" s="1" t="s">
        <v>73</v>
      </c>
      <c r="B894" s="4">
        <v>40735</v>
      </c>
      <c r="C894" s="1" t="s">
        <v>176</v>
      </c>
      <c r="D894" s="1" t="s">
        <v>150</v>
      </c>
      <c r="E894" s="1">
        <v>1</v>
      </c>
      <c r="F894" s="1" t="s">
        <v>145</v>
      </c>
      <c r="G894" s="1">
        <v>105</v>
      </c>
    </row>
    <row r="895" spans="1:7">
      <c r="A895" s="1" t="s">
        <v>73</v>
      </c>
      <c r="B895" s="4">
        <v>40735</v>
      </c>
      <c r="C895" s="1" t="s">
        <v>176</v>
      </c>
      <c r="D895" s="1" t="s">
        <v>150</v>
      </c>
      <c r="E895" s="1">
        <v>1</v>
      </c>
      <c r="F895" s="1" t="s">
        <v>145</v>
      </c>
      <c r="G895" s="1">
        <v>72</v>
      </c>
    </row>
    <row r="896" spans="1:7">
      <c r="A896" s="1" t="s">
        <v>73</v>
      </c>
      <c r="B896" s="4">
        <v>40735</v>
      </c>
      <c r="C896" s="1" t="s">
        <v>176</v>
      </c>
      <c r="D896" s="1" t="s">
        <v>150</v>
      </c>
      <c r="E896" s="1">
        <v>1</v>
      </c>
      <c r="F896" s="1" t="s">
        <v>145</v>
      </c>
      <c r="G896" s="1">
        <v>85</v>
      </c>
    </row>
    <row r="897" spans="1:7">
      <c r="A897" s="1" t="s">
        <v>73</v>
      </c>
      <c r="B897" s="4">
        <v>40735</v>
      </c>
      <c r="C897" s="1" t="s">
        <v>176</v>
      </c>
      <c r="D897" s="1" t="s">
        <v>150</v>
      </c>
      <c r="E897" s="1">
        <v>1</v>
      </c>
      <c r="F897" s="1" t="s">
        <v>145</v>
      </c>
      <c r="G897" s="1">
        <v>54</v>
      </c>
    </row>
    <row r="898" spans="1:7">
      <c r="A898" s="1" t="s">
        <v>73</v>
      </c>
      <c r="B898" s="4">
        <v>40735</v>
      </c>
      <c r="C898" s="1" t="s">
        <v>176</v>
      </c>
      <c r="D898" s="1" t="s">
        <v>150</v>
      </c>
      <c r="E898" s="1">
        <v>1</v>
      </c>
      <c r="F898" s="1" t="s">
        <v>145</v>
      </c>
      <c r="G898" s="1">
        <v>75</v>
      </c>
    </row>
    <row r="899" spans="1:7">
      <c r="A899" s="1" t="s">
        <v>73</v>
      </c>
      <c r="B899" s="4">
        <v>40735</v>
      </c>
      <c r="C899" s="1" t="s">
        <v>176</v>
      </c>
      <c r="D899" s="1" t="s">
        <v>150</v>
      </c>
      <c r="E899" s="1">
        <v>1</v>
      </c>
      <c r="F899" s="1" t="s">
        <v>145</v>
      </c>
      <c r="G899" s="1">
        <v>100</v>
      </c>
    </row>
    <row r="900" spans="1:7">
      <c r="A900" s="1" t="s">
        <v>73</v>
      </c>
      <c r="B900" s="4">
        <v>40735</v>
      </c>
      <c r="C900" s="1" t="s">
        <v>176</v>
      </c>
      <c r="D900" s="1" t="s">
        <v>150</v>
      </c>
      <c r="E900" s="1">
        <v>1</v>
      </c>
      <c r="F900" s="1" t="s">
        <v>145</v>
      </c>
      <c r="G900" s="1">
        <v>101</v>
      </c>
    </row>
    <row r="901" spans="1:7">
      <c r="A901" s="1" t="s">
        <v>73</v>
      </c>
      <c r="B901" s="4">
        <v>40735</v>
      </c>
      <c r="C901" s="1" t="s">
        <v>176</v>
      </c>
      <c r="D901" s="1" t="s">
        <v>150</v>
      </c>
      <c r="E901" s="1">
        <v>1</v>
      </c>
      <c r="F901" s="1" t="s">
        <v>145</v>
      </c>
      <c r="G901" s="1">
        <v>106</v>
      </c>
    </row>
    <row r="902" spans="1:7">
      <c r="A902" s="1" t="s">
        <v>73</v>
      </c>
      <c r="B902" s="4">
        <v>40735</v>
      </c>
      <c r="C902" s="1" t="s">
        <v>176</v>
      </c>
      <c r="D902" s="1" t="s">
        <v>150</v>
      </c>
      <c r="E902" s="1">
        <v>1</v>
      </c>
      <c r="F902" s="1" t="s">
        <v>145</v>
      </c>
      <c r="G902" s="1">
        <v>105</v>
      </c>
    </row>
    <row r="903" spans="1:7">
      <c r="A903" s="1" t="s">
        <v>73</v>
      </c>
      <c r="B903" s="4">
        <v>40735</v>
      </c>
      <c r="C903" s="1" t="s">
        <v>176</v>
      </c>
      <c r="D903" s="1" t="s">
        <v>150</v>
      </c>
      <c r="E903" s="1">
        <v>1</v>
      </c>
      <c r="F903" s="1" t="s">
        <v>145</v>
      </c>
      <c r="G903" s="1">
        <v>112</v>
      </c>
    </row>
    <row r="904" spans="1:7">
      <c r="A904" s="1" t="s">
        <v>73</v>
      </c>
      <c r="B904" s="4">
        <v>40735</v>
      </c>
      <c r="C904" s="1" t="s">
        <v>176</v>
      </c>
      <c r="D904" s="1" t="s">
        <v>150</v>
      </c>
      <c r="E904" s="1">
        <v>1</v>
      </c>
      <c r="F904" s="1" t="s">
        <v>145</v>
      </c>
      <c r="G904" s="1">
        <v>28</v>
      </c>
    </row>
    <row r="905" spans="1:7">
      <c r="A905" s="1" t="s">
        <v>73</v>
      </c>
      <c r="B905" s="4">
        <v>40735</v>
      </c>
      <c r="C905" s="1" t="s">
        <v>176</v>
      </c>
      <c r="D905" s="1" t="s">
        <v>150</v>
      </c>
      <c r="E905" s="1">
        <v>1</v>
      </c>
      <c r="F905" s="1" t="s">
        <v>145</v>
      </c>
      <c r="G905" s="1">
        <v>50</v>
      </c>
    </row>
    <row r="906" spans="1:7">
      <c r="A906" s="1" t="s">
        <v>73</v>
      </c>
      <c r="B906" s="4">
        <v>40735</v>
      </c>
      <c r="C906" s="1" t="s">
        <v>176</v>
      </c>
      <c r="D906" s="1" t="s">
        <v>150</v>
      </c>
      <c r="E906" s="1">
        <v>1</v>
      </c>
      <c r="F906" s="1" t="s">
        <v>145</v>
      </c>
      <c r="G906" s="1">
        <v>47</v>
      </c>
    </row>
    <row r="907" spans="1:7">
      <c r="A907" s="1" t="s">
        <v>73</v>
      </c>
      <c r="B907" s="4">
        <v>40735</v>
      </c>
      <c r="C907" s="1" t="s">
        <v>176</v>
      </c>
      <c r="D907" s="1" t="s">
        <v>150</v>
      </c>
      <c r="E907" s="1">
        <v>1</v>
      </c>
      <c r="F907" s="1" t="s">
        <v>145</v>
      </c>
      <c r="G907" s="1">
        <v>28</v>
      </c>
    </row>
    <row r="908" spans="1:7">
      <c r="A908" s="1" t="s">
        <v>73</v>
      </c>
      <c r="B908" s="4">
        <v>40735</v>
      </c>
      <c r="C908" s="1" t="s">
        <v>176</v>
      </c>
      <c r="D908" s="1" t="s">
        <v>150</v>
      </c>
      <c r="E908" s="1">
        <v>1</v>
      </c>
      <c r="F908" s="1" t="s">
        <v>145</v>
      </c>
      <c r="G908" s="1">
        <v>52</v>
      </c>
    </row>
    <row r="909" spans="1:7">
      <c r="A909" s="1" t="s">
        <v>73</v>
      </c>
      <c r="B909" s="4">
        <v>40735</v>
      </c>
      <c r="C909" s="1" t="s">
        <v>176</v>
      </c>
      <c r="D909" s="1" t="s">
        <v>150</v>
      </c>
      <c r="E909" s="1">
        <v>1</v>
      </c>
      <c r="F909" s="1" t="s">
        <v>145</v>
      </c>
      <c r="G909" s="1">
        <v>50</v>
      </c>
    </row>
    <row r="910" spans="1:7">
      <c r="A910" s="1" t="s">
        <v>73</v>
      </c>
      <c r="B910" s="4">
        <v>40735</v>
      </c>
      <c r="C910" s="1" t="s">
        <v>176</v>
      </c>
      <c r="D910" s="1" t="s">
        <v>150</v>
      </c>
      <c r="E910" s="1">
        <v>1</v>
      </c>
      <c r="F910" s="1" t="s">
        <v>145</v>
      </c>
      <c r="G910" s="1">
        <v>50</v>
      </c>
    </row>
    <row r="911" spans="1:7">
      <c r="A911" s="1" t="s">
        <v>73</v>
      </c>
      <c r="B911" s="4">
        <v>40735</v>
      </c>
      <c r="C911" s="1" t="s">
        <v>176</v>
      </c>
      <c r="D911" s="1" t="s">
        <v>150</v>
      </c>
      <c r="E911" s="1">
        <v>1</v>
      </c>
      <c r="F911" s="1" t="s">
        <v>145</v>
      </c>
      <c r="G911" s="1">
        <v>31</v>
      </c>
    </row>
    <row r="912" spans="1:7">
      <c r="A912" s="1" t="s">
        <v>73</v>
      </c>
      <c r="B912" s="4">
        <v>40735</v>
      </c>
      <c r="C912" s="1" t="s">
        <v>176</v>
      </c>
      <c r="D912" s="1" t="s">
        <v>150</v>
      </c>
      <c r="E912" s="1">
        <v>1</v>
      </c>
      <c r="F912" s="1" t="s">
        <v>145</v>
      </c>
      <c r="G912" s="1">
        <v>51</v>
      </c>
    </row>
    <row r="913" spans="1:7">
      <c r="A913" s="1" t="s">
        <v>73</v>
      </c>
      <c r="B913" s="4">
        <v>40735</v>
      </c>
      <c r="C913" s="1" t="s">
        <v>176</v>
      </c>
      <c r="D913" s="1" t="s">
        <v>150</v>
      </c>
      <c r="E913" s="1">
        <v>1</v>
      </c>
      <c r="F913" s="1" t="s">
        <v>145</v>
      </c>
      <c r="G913" s="1">
        <v>54</v>
      </c>
    </row>
    <row r="914" spans="1:7">
      <c r="A914" s="1" t="s">
        <v>73</v>
      </c>
      <c r="B914" s="4">
        <v>40735</v>
      </c>
      <c r="C914" s="1" t="s">
        <v>176</v>
      </c>
      <c r="D914" s="1" t="s">
        <v>150</v>
      </c>
      <c r="E914" s="1">
        <v>1</v>
      </c>
      <c r="F914" s="1" t="s">
        <v>145</v>
      </c>
      <c r="G914" s="1">
        <v>45</v>
      </c>
    </row>
    <row r="915" spans="1:7">
      <c r="A915" s="1" t="s">
        <v>73</v>
      </c>
      <c r="B915" s="4">
        <v>40735</v>
      </c>
      <c r="C915" s="1" t="s">
        <v>176</v>
      </c>
      <c r="D915" s="1" t="s">
        <v>150</v>
      </c>
      <c r="E915" s="1">
        <v>1</v>
      </c>
      <c r="F915" s="1" t="s">
        <v>145</v>
      </c>
      <c r="G915" s="1">
        <v>53</v>
      </c>
    </row>
    <row r="916" spans="1:7">
      <c r="A916" s="1" t="s">
        <v>73</v>
      </c>
      <c r="B916" s="4">
        <v>40735</v>
      </c>
      <c r="C916" s="1" t="s">
        <v>176</v>
      </c>
      <c r="D916" s="1" t="s">
        <v>150</v>
      </c>
      <c r="E916" s="1">
        <v>1</v>
      </c>
      <c r="F916" s="1" t="s">
        <v>145</v>
      </c>
      <c r="G916" s="1">
        <v>72</v>
      </c>
    </row>
    <row r="917" spans="1:7">
      <c r="A917" s="1" t="s">
        <v>73</v>
      </c>
      <c r="B917" s="4">
        <v>40735</v>
      </c>
      <c r="C917" s="1" t="s">
        <v>176</v>
      </c>
      <c r="D917" s="1" t="s">
        <v>150</v>
      </c>
      <c r="E917" s="1">
        <v>1</v>
      </c>
      <c r="F917" s="1" t="s">
        <v>145</v>
      </c>
      <c r="G917" s="1">
        <v>80</v>
      </c>
    </row>
    <row r="918" spans="1:7">
      <c r="A918" s="1" t="s">
        <v>73</v>
      </c>
      <c r="B918" s="4">
        <v>40735</v>
      </c>
      <c r="C918" s="1" t="s">
        <v>176</v>
      </c>
      <c r="D918" s="1" t="s">
        <v>150</v>
      </c>
      <c r="E918" s="1">
        <v>1</v>
      </c>
      <c r="F918" s="1" t="s">
        <v>145</v>
      </c>
      <c r="G918" s="1">
        <v>31</v>
      </c>
    </row>
    <row r="919" spans="1:7">
      <c r="A919" s="1" t="s">
        <v>73</v>
      </c>
      <c r="B919" s="4">
        <v>40735</v>
      </c>
      <c r="C919" s="1" t="s">
        <v>176</v>
      </c>
      <c r="D919" s="1" t="s">
        <v>150</v>
      </c>
      <c r="E919" s="1">
        <v>1</v>
      </c>
      <c r="F919" s="1" t="s">
        <v>145</v>
      </c>
      <c r="G919" s="1">
        <v>33</v>
      </c>
    </row>
    <row r="920" spans="1:7">
      <c r="A920" s="1" t="s">
        <v>73</v>
      </c>
      <c r="B920" s="4">
        <v>40735</v>
      </c>
      <c r="C920" s="1" t="s">
        <v>176</v>
      </c>
      <c r="D920" s="1" t="s">
        <v>150</v>
      </c>
      <c r="E920" s="1">
        <v>1</v>
      </c>
      <c r="F920" s="1" t="s">
        <v>145</v>
      </c>
      <c r="G920" s="1">
        <v>34</v>
      </c>
    </row>
    <row r="921" spans="1:7">
      <c r="A921" s="1" t="s">
        <v>73</v>
      </c>
      <c r="B921" s="4">
        <v>40735</v>
      </c>
      <c r="C921" s="1" t="s">
        <v>176</v>
      </c>
      <c r="D921" s="1" t="s">
        <v>150</v>
      </c>
      <c r="E921" s="1">
        <v>1</v>
      </c>
      <c r="F921" s="1" t="s">
        <v>145</v>
      </c>
      <c r="G921" s="1">
        <v>52</v>
      </c>
    </row>
    <row r="922" spans="1:7">
      <c r="A922" s="1" t="s">
        <v>73</v>
      </c>
      <c r="B922" s="4">
        <v>40735</v>
      </c>
      <c r="C922" s="1" t="s">
        <v>176</v>
      </c>
      <c r="D922" s="1" t="s">
        <v>150</v>
      </c>
      <c r="E922" s="1">
        <v>1</v>
      </c>
      <c r="F922" s="1" t="s">
        <v>145</v>
      </c>
      <c r="G922" s="1">
        <v>52</v>
      </c>
    </row>
    <row r="923" spans="1:7">
      <c r="A923" s="1" t="s">
        <v>73</v>
      </c>
      <c r="B923" s="4">
        <v>40735</v>
      </c>
      <c r="C923" s="1" t="s">
        <v>176</v>
      </c>
      <c r="D923" s="1" t="s">
        <v>150</v>
      </c>
      <c r="E923" s="1">
        <v>1</v>
      </c>
      <c r="F923" s="1" t="s">
        <v>145</v>
      </c>
      <c r="G923" s="1">
        <v>48</v>
      </c>
    </row>
    <row r="924" spans="1:7">
      <c r="A924" s="1" t="s">
        <v>73</v>
      </c>
      <c r="B924" s="4">
        <v>40735</v>
      </c>
      <c r="C924" s="1" t="s">
        <v>176</v>
      </c>
      <c r="D924" s="1" t="s">
        <v>150</v>
      </c>
      <c r="E924" s="1">
        <v>1</v>
      </c>
      <c r="F924" s="1" t="s">
        <v>145</v>
      </c>
      <c r="G924" s="1">
        <v>56</v>
      </c>
    </row>
    <row r="925" spans="1:7">
      <c r="A925" s="1" t="s">
        <v>73</v>
      </c>
      <c r="B925" s="4">
        <v>40735</v>
      </c>
      <c r="C925" s="1" t="s">
        <v>176</v>
      </c>
      <c r="D925" s="1" t="s">
        <v>150</v>
      </c>
      <c r="E925" s="1">
        <v>1</v>
      </c>
      <c r="F925" s="1" t="s">
        <v>145</v>
      </c>
      <c r="G925" s="1">
        <v>49</v>
      </c>
    </row>
    <row r="926" spans="1:7">
      <c r="A926" s="1" t="s">
        <v>73</v>
      </c>
      <c r="B926" s="4">
        <v>40735</v>
      </c>
      <c r="C926" s="1" t="s">
        <v>176</v>
      </c>
      <c r="D926" s="1" t="s">
        <v>150</v>
      </c>
      <c r="E926" s="1">
        <v>1</v>
      </c>
      <c r="F926" s="1" t="s">
        <v>145</v>
      </c>
      <c r="G926" s="1">
        <v>65</v>
      </c>
    </row>
    <row r="927" spans="1:7">
      <c r="A927" s="1" t="s">
        <v>73</v>
      </c>
      <c r="B927" s="4">
        <v>40735</v>
      </c>
      <c r="C927" s="1" t="s">
        <v>176</v>
      </c>
      <c r="D927" s="1" t="s">
        <v>150</v>
      </c>
      <c r="E927" s="1">
        <v>1</v>
      </c>
      <c r="F927" s="1" t="s">
        <v>145</v>
      </c>
      <c r="G927" s="1">
        <v>77</v>
      </c>
    </row>
    <row r="928" spans="1:7">
      <c r="A928" s="1" t="s">
        <v>73</v>
      </c>
      <c r="B928" s="4">
        <v>40735</v>
      </c>
      <c r="C928" s="1" t="s">
        <v>176</v>
      </c>
      <c r="D928" s="1" t="s">
        <v>150</v>
      </c>
      <c r="E928" s="1">
        <v>1</v>
      </c>
      <c r="F928" s="1" t="s">
        <v>145</v>
      </c>
      <c r="G928" s="1">
        <v>33</v>
      </c>
    </row>
    <row r="929" spans="1:7">
      <c r="A929" s="1" t="s">
        <v>73</v>
      </c>
      <c r="B929" s="4">
        <v>40735</v>
      </c>
      <c r="C929" s="1" t="s">
        <v>176</v>
      </c>
      <c r="D929" s="1" t="s">
        <v>150</v>
      </c>
      <c r="E929" s="1">
        <v>1</v>
      </c>
      <c r="F929" s="1" t="s">
        <v>145</v>
      </c>
      <c r="G929" s="1">
        <v>34</v>
      </c>
    </row>
    <row r="930" spans="1:7">
      <c r="A930" s="1" t="s">
        <v>73</v>
      </c>
      <c r="B930" s="4">
        <v>40735</v>
      </c>
      <c r="C930" s="1" t="s">
        <v>176</v>
      </c>
      <c r="D930" s="1" t="s">
        <v>150</v>
      </c>
      <c r="E930" s="1">
        <v>1</v>
      </c>
      <c r="F930" s="1" t="s">
        <v>145</v>
      </c>
      <c r="G930" s="1">
        <v>33</v>
      </c>
    </row>
    <row r="931" spans="1:7">
      <c r="A931" s="1" t="s">
        <v>73</v>
      </c>
      <c r="B931" s="4">
        <v>40735</v>
      </c>
      <c r="C931" s="1" t="s">
        <v>176</v>
      </c>
      <c r="D931" s="1" t="s">
        <v>150</v>
      </c>
      <c r="E931" s="1">
        <v>1</v>
      </c>
      <c r="F931" s="1" t="s">
        <v>145</v>
      </c>
      <c r="G931" s="1">
        <v>32</v>
      </c>
    </row>
    <row r="932" spans="1:7">
      <c r="A932" s="1" t="s">
        <v>73</v>
      </c>
      <c r="B932" s="4">
        <v>40735</v>
      </c>
      <c r="C932" s="1" t="s">
        <v>176</v>
      </c>
      <c r="D932" s="1" t="s">
        <v>150</v>
      </c>
      <c r="E932" s="1">
        <v>1</v>
      </c>
      <c r="F932" s="1" t="s">
        <v>145</v>
      </c>
      <c r="G932" s="1">
        <v>52</v>
      </c>
    </row>
    <row r="933" spans="1:7">
      <c r="A933" s="1" t="s">
        <v>73</v>
      </c>
      <c r="B933" s="4">
        <v>40735</v>
      </c>
      <c r="C933" s="1" t="s">
        <v>176</v>
      </c>
      <c r="D933" s="1" t="s">
        <v>150</v>
      </c>
      <c r="E933" s="1">
        <v>1</v>
      </c>
      <c r="F933" s="1" t="s">
        <v>145</v>
      </c>
      <c r="G933" s="1">
        <v>32</v>
      </c>
    </row>
    <row r="934" spans="1:7">
      <c r="A934" s="1" t="s">
        <v>73</v>
      </c>
      <c r="B934" s="4">
        <v>40735</v>
      </c>
      <c r="C934" s="1" t="s">
        <v>176</v>
      </c>
      <c r="D934" s="1" t="s">
        <v>150</v>
      </c>
      <c r="E934" s="1">
        <v>1</v>
      </c>
      <c r="F934" s="1" t="s">
        <v>145</v>
      </c>
      <c r="G934" s="1">
        <v>34</v>
      </c>
    </row>
    <row r="935" spans="1:7">
      <c r="A935" s="1" t="s">
        <v>73</v>
      </c>
      <c r="B935" s="4">
        <v>40735</v>
      </c>
      <c r="C935" s="1" t="s">
        <v>176</v>
      </c>
      <c r="D935" s="1" t="s">
        <v>150</v>
      </c>
      <c r="E935" s="1">
        <v>1</v>
      </c>
      <c r="F935" s="1" t="s">
        <v>145</v>
      </c>
      <c r="G935" s="1">
        <v>32</v>
      </c>
    </row>
    <row r="936" spans="1:7">
      <c r="A936" s="1" t="s">
        <v>73</v>
      </c>
      <c r="B936" s="4">
        <v>40735</v>
      </c>
      <c r="C936" s="1" t="s">
        <v>176</v>
      </c>
      <c r="D936" s="1" t="s">
        <v>150</v>
      </c>
      <c r="E936" s="1">
        <v>1</v>
      </c>
      <c r="F936" s="1" t="s">
        <v>145</v>
      </c>
      <c r="G936" s="1">
        <v>31</v>
      </c>
    </row>
    <row r="937" spans="1:7">
      <c r="A937" s="1" t="s">
        <v>73</v>
      </c>
      <c r="B937" s="4">
        <v>40735</v>
      </c>
      <c r="C937" s="1" t="s">
        <v>176</v>
      </c>
      <c r="D937" s="1" t="s">
        <v>150</v>
      </c>
      <c r="E937" s="1">
        <v>1</v>
      </c>
      <c r="F937" s="1" t="s">
        <v>145</v>
      </c>
      <c r="G937" s="1">
        <v>28</v>
      </c>
    </row>
    <row r="938" spans="1:7">
      <c r="A938" s="1" t="s">
        <v>73</v>
      </c>
      <c r="B938" s="4">
        <v>40735</v>
      </c>
      <c r="C938" s="1" t="s">
        <v>176</v>
      </c>
      <c r="D938" s="1" t="s">
        <v>150</v>
      </c>
      <c r="E938" s="1">
        <v>1</v>
      </c>
      <c r="F938" s="1" t="s">
        <v>145</v>
      </c>
      <c r="G938" s="1">
        <v>29</v>
      </c>
    </row>
    <row r="939" spans="1:7">
      <c r="A939" s="1" t="s">
        <v>73</v>
      </c>
      <c r="B939" s="4">
        <v>40735</v>
      </c>
      <c r="C939" s="1" t="s">
        <v>176</v>
      </c>
      <c r="D939" s="1" t="s">
        <v>150</v>
      </c>
      <c r="E939" s="1">
        <v>1</v>
      </c>
      <c r="F939" s="1" t="s">
        <v>145</v>
      </c>
      <c r="G939" s="1">
        <v>31</v>
      </c>
    </row>
    <row r="940" spans="1:7">
      <c r="A940" s="1" t="s">
        <v>73</v>
      </c>
      <c r="B940" s="4">
        <v>40735</v>
      </c>
      <c r="C940" s="1" t="s">
        <v>176</v>
      </c>
      <c r="D940" s="1" t="s">
        <v>150</v>
      </c>
      <c r="E940" s="1">
        <v>1</v>
      </c>
      <c r="F940" s="1" t="s">
        <v>145</v>
      </c>
      <c r="G940" s="1">
        <v>30</v>
      </c>
    </row>
    <row r="941" spans="1:7">
      <c r="A941" s="1" t="s">
        <v>73</v>
      </c>
      <c r="B941" s="4">
        <v>40735</v>
      </c>
      <c r="C941" s="1" t="s">
        <v>176</v>
      </c>
      <c r="D941" s="1" t="s">
        <v>150</v>
      </c>
      <c r="E941" s="1">
        <v>1</v>
      </c>
      <c r="F941" s="1" t="s">
        <v>145</v>
      </c>
      <c r="G941" s="1">
        <v>50</v>
      </c>
    </row>
    <row r="942" spans="1:7">
      <c r="A942" s="1" t="s">
        <v>73</v>
      </c>
      <c r="B942" s="4">
        <v>40735</v>
      </c>
      <c r="C942" s="1" t="s">
        <v>176</v>
      </c>
      <c r="D942" s="1" t="s">
        <v>150</v>
      </c>
      <c r="E942" s="1">
        <v>1</v>
      </c>
      <c r="F942" s="1" t="s">
        <v>145</v>
      </c>
      <c r="G942" s="1">
        <v>48</v>
      </c>
    </row>
    <row r="943" spans="1:7">
      <c r="A943" s="1" t="s">
        <v>73</v>
      </c>
      <c r="B943" s="4">
        <v>40735</v>
      </c>
      <c r="C943" s="1" t="s">
        <v>176</v>
      </c>
      <c r="D943" s="1" t="s">
        <v>150</v>
      </c>
      <c r="E943" s="1">
        <v>1</v>
      </c>
      <c r="F943" s="1" t="s">
        <v>145</v>
      </c>
      <c r="G943" s="1">
        <v>28</v>
      </c>
    </row>
    <row r="944" spans="1:7">
      <c r="A944" s="1" t="s">
        <v>73</v>
      </c>
      <c r="B944" s="4">
        <v>40735</v>
      </c>
      <c r="C944" s="1" t="s">
        <v>176</v>
      </c>
      <c r="D944" s="1" t="s">
        <v>150</v>
      </c>
      <c r="E944" s="1">
        <v>1</v>
      </c>
      <c r="F944" s="1" t="s">
        <v>145</v>
      </c>
      <c r="G944" s="1">
        <v>28</v>
      </c>
    </row>
    <row r="945" spans="1:7">
      <c r="A945" s="1" t="s">
        <v>73</v>
      </c>
      <c r="B945" s="4">
        <v>40735</v>
      </c>
      <c r="C945" s="1" t="s">
        <v>176</v>
      </c>
      <c r="D945" s="1" t="s">
        <v>150</v>
      </c>
      <c r="E945" s="1">
        <v>1</v>
      </c>
      <c r="F945" s="1" t="s">
        <v>145</v>
      </c>
      <c r="G945" s="1">
        <v>29</v>
      </c>
    </row>
    <row r="946" spans="1:7">
      <c r="A946" s="1" t="s">
        <v>73</v>
      </c>
      <c r="B946" s="4">
        <v>40735</v>
      </c>
      <c r="C946" s="1" t="s">
        <v>176</v>
      </c>
      <c r="D946" s="1" t="s">
        <v>150</v>
      </c>
      <c r="E946" s="1">
        <v>1</v>
      </c>
      <c r="F946" s="1" t="s">
        <v>145</v>
      </c>
      <c r="G946" s="1">
        <v>30</v>
      </c>
    </row>
    <row r="947" spans="1:7">
      <c r="A947" s="1" t="s">
        <v>73</v>
      </c>
      <c r="B947" s="4">
        <v>40735</v>
      </c>
      <c r="C947" s="1" t="s">
        <v>176</v>
      </c>
      <c r="D947" s="1" t="s">
        <v>150</v>
      </c>
      <c r="E947" s="1">
        <v>1</v>
      </c>
      <c r="F947" s="1" t="s">
        <v>145</v>
      </c>
      <c r="G947" s="1">
        <v>30</v>
      </c>
    </row>
    <row r="948" spans="1:7">
      <c r="A948" s="1" t="s">
        <v>73</v>
      </c>
      <c r="B948" s="4">
        <v>40735</v>
      </c>
      <c r="C948" s="1" t="s">
        <v>176</v>
      </c>
      <c r="D948" s="1" t="s">
        <v>150</v>
      </c>
      <c r="E948" s="1">
        <v>1</v>
      </c>
      <c r="F948" s="1" t="s">
        <v>145</v>
      </c>
      <c r="G948" s="1">
        <v>53</v>
      </c>
    </row>
    <row r="949" spans="1:7">
      <c r="A949" s="1" t="s">
        <v>73</v>
      </c>
      <c r="B949" s="4">
        <v>40735</v>
      </c>
      <c r="C949" s="1" t="s">
        <v>176</v>
      </c>
      <c r="D949" s="1" t="s">
        <v>150</v>
      </c>
      <c r="E949" s="1">
        <v>1</v>
      </c>
      <c r="F949" s="1" t="s">
        <v>145</v>
      </c>
      <c r="G949" s="1">
        <v>50</v>
      </c>
    </row>
    <row r="950" spans="1:7">
      <c r="A950" s="1" t="s">
        <v>73</v>
      </c>
      <c r="B950" s="4">
        <v>40735</v>
      </c>
      <c r="C950" s="1" t="s">
        <v>176</v>
      </c>
      <c r="D950" s="1" t="s">
        <v>150</v>
      </c>
      <c r="E950" s="1">
        <v>1</v>
      </c>
      <c r="F950" s="1" t="s">
        <v>145</v>
      </c>
      <c r="G950" s="1">
        <v>54</v>
      </c>
    </row>
    <row r="951" spans="1:7">
      <c r="A951" s="1" t="s">
        <v>73</v>
      </c>
      <c r="B951" s="4">
        <v>40735</v>
      </c>
      <c r="C951" s="1" t="s">
        <v>176</v>
      </c>
      <c r="D951" s="1" t="s">
        <v>150</v>
      </c>
      <c r="E951" s="1">
        <v>1</v>
      </c>
      <c r="F951" s="1" t="s">
        <v>145</v>
      </c>
      <c r="G951" s="1">
        <v>48</v>
      </c>
    </row>
    <row r="952" spans="1:7">
      <c r="A952" s="1" t="s">
        <v>73</v>
      </c>
      <c r="B952" s="4">
        <v>40735</v>
      </c>
      <c r="C952" s="1" t="s">
        <v>176</v>
      </c>
      <c r="D952" s="1" t="s">
        <v>150</v>
      </c>
      <c r="E952" s="1">
        <v>1</v>
      </c>
      <c r="F952" s="1" t="s">
        <v>145</v>
      </c>
      <c r="G952" s="1">
        <v>31</v>
      </c>
    </row>
    <row r="953" spans="1:7">
      <c r="A953" s="1" t="s">
        <v>73</v>
      </c>
      <c r="B953" s="4">
        <v>40735</v>
      </c>
      <c r="C953" s="1" t="s">
        <v>176</v>
      </c>
      <c r="D953" s="1" t="s">
        <v>150</v>
      </c>
      <c r="E953" s="1">
        <v>1</v>
      </c>
      <c r="F953" s="1" t="s">
        <v>145</v>
      </c>
      <c r="G953" s="1">
        <v>59</v>
      </c>
    </row>
    <row r="954" spans="1:7">
      <c r="A954" s="1" t="s">
        <v>73</v>
      </c>
      <c r="B954" s="4">
        <v>40735</v>
      </c>
      <c r="C954" s="1" t="s">
        <v>176</v>
      </c>
      <c r="D954" s="1" t="s">
        <v>150</v>
      </c>
      <c r="E954" s="1">
        <v>1</v>
      </c>
      <c r="F954" s="1" t="s">
        <v>145</v>
      </c>
      <c r="G954" s="1">
        <v>77</v>
      </c>
    </row>
    <row r="955" spans="1:7">
      <c r="A955" s="1" t="s">
        <v>73</v>
      </c>
      <c r="B955" s="4">
        <v>40735</v>
      </c>
      <c r="C955" s="1" t="s">
        <v>176</v>
      </c>
      <c r="D955" s="1" t="s">
        <v>150</v>
      </c>
      <c r="E955" s="1">
        <v>2</v>
      </c>
      <c r="F955" s="1" t="s">
        <v>145</v>
      </c>
      <c r="G955" s="1">
        <v>54</v>
      </c>
    </row>
    <row r="956" spans="1:7">
      <c r="A956" s="1" t="s">
        <v>73</v>
      </c>
      <c r="B956" s="4">
        <v>40735</v>
      </c>
      <c r="C956" s="1" t="s">
        <v>176</v>
      </c>
      <c r="D956" s="1" t="s">
        <v>150</v>
      </c>
      <c r="E956" s="1">
        <v>2</v>
      </c>
      <c r="F956" s="1" t="s">
        <v>145</v>
      </c>
      <c r="G956" s="1">
        <v>61</v>
      </c>
    </row>
    <row r="957" spans="1:7">
      <c r="A957" s="1" t="s">
        <v>73</v>
      </c>
      <c r="B957" s="4">
        <v>40735</v>
      </c>
      <c r="C957" s="1" t="s">
        <v>176</v>
      </c>
      <c r="D957" s="1" t="s">
        <v>150</v>
      </c>
      <c r="E957" s="1">
        <v>2</v>
      </c>
      <c r="F957" s="1" t="s">
        <v>145</v>
      </c>
      <c r="G957" s="1">
        <v>75</v>
      </c>
    </row>
    <row r="958" spans="1:7">
      <c r="A958" s="1" t="s">
        <v>73</v>
      </c>
      <c r="B958" s="4">
        <v>40735</v>
      </c>
      <c r="C958" s="1" t="s">
        <v>176</v>
      </c>
      <c r="D958" s="1" t="s">
        <v>150</v>
      </c>
      <c r="E958" s="1">
        <v>2</v>
      </c>
      <c r="F958" s="1" t="s">
        <v>145</v>
      </c>
      <c r="G958" s="1">
        <v>120</v>
      </c>
    </row>
    <row r="959" spans="1:7">
      <c r="A959" s="1" t="s">
        <v>73</v>
      </c>
      <c r="B959" s="4">
        <v>40735</v>
      </c>
      <c r="C959" s="1" t="s">
        <v>176</v>
      </c>
      <c r="D959" s="1" t="s">
        <v>150</v>
      </c>
      <c r="E959" s="1">
        <v>2</v>
      </c>
      <c r="F959" s="1" t="s">
        <v>145</v>
      </c>
      <c r="G959" s="1">
        <v>38</v>
      </c>
    </row>
    <row r="960" spans="1:7">
      <c r="A960" s="1" t="s">
        <v>73</v>
      </c>
      <c r="B960" s="4">
        <v>40735</v>
      </c>
      <c r="C960" s="1" t="s">
        <v>176</v>
      </c>
      <c r="D960" s="1" t="s">
        <v>150</v>
      </c>
      <c r="E960" s="1">
        <v>2</v>
      </c>
      <c r="F960" s="1" t="s">
        <v>145</v>
      </c>
      <c r="G960" s="1">
        <v>52</v>
      </c>
    </row>
    <row r="961" spans="1:7">
      <c r="A961" s="1" t="s">
        <v>73</v>
      </c>
      <c r="B961" s="4">
        <v>40735</v>
      </c>
      <c r="C961" s="1" t="s">
        <v>176</v>
      </c>
      <c r="D961" s="1" t="s">
        <v>150</v>
      </c>
      <c r="E961" s="1">
        <v>2</v>
      </c>
      <c r="F961" s="1" t="s">
        <v>145</v>
      </c>
      <c r="G961" s="1">
        <v>55</v>
      </c>
    </row>
    <row r="962" spans="1:7">
      <c r="A962" s="1" t="s">
        <v>73</v>
      </c>
      <c r="B962" s="4">
        <v>40735</v>
      </c>
      <c r="C962" s="1" t="s">
        <v>176</v>
      </c>
      <c r="D962" s="1" t="s">
        <v>150</v>
      </c>
      <c r="E962" s="1">
        <v>2</v>
      </c>
      <c r="F962" s="1" t="s">
        <v>145</v>
      </c>
      <c r="G962" s="1">
        <v>55</v>
      </c>
    </row>
    <row r="963" spans="1:7">
      <c r="A963" s="1" t="s">
        <v>73</v>
      </c>
      <c r="B963" s="4">
        <v>40735</v>
      </c>
      <c r="C963" s="1" t="s">
        <v>176</v>
      </c>
      <c r="D963" s="1" t="s">
        <v>150</v>
      </c>
      <c r="E963" s="1">
        <v>2</v>
      </c>
      <c r="F963" s="1" t="s">
        <v>145</v>
      </c>
      <c r="G963" s="1">
        <v>62</v>
      </c>
    </row>
    <row r="964" spans="1:7">
      <c r="A964" s="1" t="s">
        <v>73</v>
      </c>
      <c r="B964" s="4">
        <v>40735</v>
      </c>
      <c r="C964" s="1" t="s">
        <v>176</v>
      </c>
      <c r="D964" s="1" t="s">
        <v>150</v>
      </c>
      <c r="E964" s="1">
        <v>2</v>
      </c>
      <c r="F964" s="1" t="s">
        <v>145</v>
      </c>
      <c r="G964" s="1">
        <v>84</v>
      </c>
    </row>
    <row r="965" spans="1:7">
      <c r="A965" s="1" t="s">
        <v>73</v>
      </c>
      <c r="B965" s="4">
        <v>40735</v>
      </c>
      <c r="C965" s="1" t="s">
        <v>176</v>
      </c>
      <c r="D965" s="1" t="s">
        <v>150</v>
      </c>
      <c r="E965" s="1">
        <v>2</v>
      </c>
      <c r="F965" s="1" t="s">
        <v>145</v>
      </c>
      <c r="G965" s="1">
        <v>86</v>
      </c>
    </row>
    <row r="966" spans="1:7">
      <c r="A966" s="1" t="s">
        <v>73</v>
      </c>
      <c r="B966" s="4">
        <v>40735</v>
      </c>
      <c r="C966" s="1" t="s">
        <v>176</v>
      </c>
      <c r="D966" s="1" t="s">
        <v>150</v>
      </c>
      <c r="E966" s="1">
        <v>2</v>
      </c>
      <c r="F966" s="1" t="s">
        <v>145</v>
      </c>
      <c r="G966" s="1">
        <v>86</v>
      </c>
    </row>
    <row r="967" spans="1:7">
      <c r="A967" s="1" t="s">
        <v>73</v>
      </c>
      <c r="B967" s="4">
        <v>40735</v>
      </c>
      <c r="C967" s="1" t="s">
        <v>176</v>
      </c>
      <c r="D967" s="1" t="s">
        <v>150</v>
      </c>
      <c r="E967" s="1">
        <v>2</v>
      </c>
      <c r="F967" s="1" t="s">
        <v>145</v>
      </c>
      <c r="G967" s="1">
        <v>91</v>
      </c>
    </row>
    <row r="968" spans="1:7">
      <c r="A968" s="1" t="s">
        <v>73</v>
      </c>
      <c r="B968" s="4">
        <v>40735</v>
      </c>
      <c r="C968" s="1" t="s">
        <v>176</v>
      </c>
      <c r="D968" s="1" t="s">
        <v>150</v>
      </c>
      <c r="E968" s="1">
        <v>2</v>
      </c>
      <c r="F968" s="1" t="s">
        <v>145</v>
      </c>
      <c r="G968" s="1">
        <v>111</v>
      </c>
    </row>
    <row r="969" spans="1:7">
      <c r="A969" s="1" t="s">
        <v>73</v>
      </c>
      <c r="B969" s="4">
        <v>40735</v>
      </c>
      <c r="C969" s="1" t="s">
        <v>176</v>
      </c>
      <c r="D969" s="1" t="s">
        <v>150</v>
      </c>
      <c r="E969" s="1">
        <v>2</v>
      </c>
      <c r="F969" s="1" t="s">
        <v>145</v>
      </c>
      <c r="G969" s="1">
        <v>30</v>
      </c>
    </row>
    <row r="970" spans="1:7">
      <c r="A970" s="1" t="s">
        <v>73</v>
      </c>
      <c r="B970" s="4">
        <v>40735</v>
      </c>
      <c r="C970" s="1" t="s">
        <v>176</v>
      </c>
      <c r="D970" s="1" t="s">
        <v>150</v>
      </c>
      <c r="E970" s="1">
        <v>2</v>
      </c>
      <c r="F970" s="1" t="s">
        <v>145</v>
      </c>
      <c r="G970" s="1">
        <v>31</v>
      </c>
    </row>
    <row r="971" spans="1:7">
      <c r="A971" s="1" t="s">
        <v>73</v>
      </c>
      <c r="B971" s="4">
        <v>40735</v>
      </c>
      <c r="C971" s="1" t="s">
        <v>176</v>
      </c>
      <c r="D971" s="1" t="s">
        <v>150</v>
      </c>
      <c r="E971" s="1">
        <v>2</v>
      </c>
      <c r="F971" s="1" t="s">
        <v>145</v>
      </c>
      <c r="G971" s="1">
        <v>29</v>
      </c>
    </row>
    <row r="972" spans="1:7">
      <c r="A972" s="1" t="s">
        <v>73</v>
      </c>
      <c r="B972" s="4">
        <v>40735</v>
      </c>
      <c r="C972" s="1" t="s">
        <v>176</v>
      </c>
      <c r="D972" s="1" t="s">
        <v>150</v>
      </c>
      <c r="E972" s="1">
        <v>2</v>
      </c>
      <c r="F972" s="1" t="s">
        <v>145</v>
      </c>
      <c r="G972" s="1">
        <v>55</v>
      </c>
    </row>
    <row r="973" spans="1:7">
      <c r="A973" s="1" t="s">
        <v>73</v>
      </c>
      <c r="B973" s="4">
        <v>40735</v>
      </c>
      <c r="C973" s="1" t="s">
        <v>176</v>
      </c>
      <c r="D973" s="1" t="s">
        <v>150</v>
      </c>
      <c r="E973" s="1">
        <v>2</v>
      </c>
      <c r="F973" s="1" t="s">
        <v>145</v>
      </c>
      <c r="G973" s="1">
        <v>57</v>
      </c>
    </row>
    <row r="974" spans="1:7">
      <c r="A974" s="1" t="s">
        <v>73</v>
      </c>
      <c r="B974" s="4">
        <v>40735</v>
      </c>
      <c r="C974" s="1" t="s">
        <v>176</v>
      </c>
      <c r="D974" s="1" t="s">
        <v>150</v>
      </c>
      <c r="E974" s="1">
        <v>2</v>
      </c>
      <c r="F974" s="1" t="s">
        <v>145</v>
      </c>
      <c r="G974" s="1">
        <v>31</v>
      </c>
    </row>
    <row r="975" spans="1:7">
      <c r="A975" s="1" t="s">
        <v>73</v>
      </c>
      <c r="B975" s="4">
        <v>40735</v>
      </c>
      <c r="C975" s="1" t="s">
        <v>176</v>
      </c>
      <c r="D975" s="1" t="s">
        <v>150</v>
      </c>
      <c r="E975" s="1">
        <v>2</v>
      </c>
      <c r="F975" s="1" t="s">
        <v>145</v>
      </c>
      <c r="G975" s="1">
        <v>78</v>
      </c>
    </row>
    <row r="976" spans="1:7">
      <c r="A976" s="1" t="s">
        <v>73</v>
      </c>
      <c r="B976" s="4">
        <v>40735</v>
      </c>
      <c r="C976" s="1" t="s">
        <v>176</v>
      </c>
      <c r="D976" s="1" t="s">
        <v>150</v>
      </c>
      <c r="E976" s="1">
        <v>2</v>
      </c>
      <c r="F976" s="1" t="s">
        <v>145</v>
      </c>
      <c r="G976" s="1">
        <v>69</v>
      </c>
    </row>
    <row r="977" spans="1:7">
      <c r="A977" s="1" t="s">
        <v>73</v>
      </c>
      <c r="B977" s="4">
        <v>40735</v>
      </c>
      <c r="C977" s="1" t="s">
        <v>176</v>
      </c>
      <c r="D977" s="1" t="s">
        <v>150</v>
      </c>
      <c r="E977" s="1">
        <v>2</v>
      </c>
      <c r="F977" s="1" t="s">
        <v>145</v>
      </c>
      <c r="G977" s="1">
        <v>56</v>
      </c>
    </row>
    <row r="978" spans="1:7">
      <c r="A978" s="1" t="s">
        <v>73</v>
      </c>
      <c r="B978" s="4">
        <v>40735</v>
      </c>
      <c r="C978" s="1" t="s">
        <v>176</v>
      </c>
      <c r="D978" s="1" t="s">
        <v>150</v>
      </c>
      <c r="E978" s="1">
        <v>2</v>
      </c>
      <c r="F978" s="1" t="s">
        <v>145</v>
      </c>
      <c r="G978" s="1">
        <v>96</v>
      </c>
    </row>
    <row r="979" spans="1:7">
      <c r="A979" s="1" t="s">
        <v>73</v>
      </c>
      <c r="B979" s="4">
        <v>40735</v>
      </c>
      <c r="C979" s="1" t="s">
        <v>176</v>
      </c>
      <c r="D979" s="1" t="s">
        <v>150</v>
      </c>
      <c r="E979" s="1">
        <v>2</v>
      </c>
      <c r="F979" s="1" t="s">
        <v>145</v>
      </c>
      <c r="G979" s="1">
        <v>76</v>
      </c>
    </row>
    <row r="980" spans="1:7">
      <c r="A980" s="1" t="s">
        <v>73</v>
      </c>
      <c r="B980" s="4">
        <v>40735</v>
      </c>
      <c r="C980" s="1" t="s">
        <v>176</v>
      </c>
      <c r="D980" s="1" t="s">
        <v>150</v>
      </c>
      <c r="E980" s="1">
        <v>2</v>
      </c>
      <c r="F980" s="1" t="s">
        <v>145</v>
      </c>
      <c r="G980" s="1">
        <v>60</v>
      </c>
    </row>
    <row r="981" spans="1:7">
      <c r="A981" s="1" t="s">
        <v>73</v>
      </c>
      <c r="B981" s="4">
        <v>40735</v>
      </c>
      <c r="C981" s="1" t="s">
        <v>176</v>
      </c>
      <c r="D981" s="1" t="s">
        <v>150</v>
      </c>
      <c r="E981" s="1">
        <v>2</v>
      </c>
      <c r="F981" s="1" t="s">
        <v>145</v>
      </c>
      <c r="G981" s="1">
        <v>58</v>
      </c>
    </row>
    <row r="982" spans="1:7">
      <c r="A982" s="1" t="s">
        <v>73</v>
      </c>
      <c r="B982" s="4">
        <v>40735</v>
      </c>
      <c r="C982" s="1" t="s">
        <v>176</v>
      </c>
      <c r="D982" s="1" t="s">
        <v>150</v>
      </c>
      <c r="E982" s="1">
        <v>2</v>
      </c>
      <c r="F982" s="1" t="s">
        <v>145</v>
      </c>
      <c r="G982" s="1">
        <v>42</v>
      </c>
    </row>
    <row r="983" spans="1:7">
      <c r="A983" s="1" t="s">
        <v>73</v>
      </c>
      <c r="B983" s="4">
        <v>40735</v>
      </c>
      <c r="C983" s="1" t="s">
        <v>176</v>
      </c>
      <c r="D983" s="1" t="s">
        <v>150</v>
      </c>
      <c r="E983" s="1">
        <v>2</v>
      </c>
      <c r="F983" s="1" t="s">
        <v>145</v>
      </c>
      <c r="G983" s="1">
        <v>30</v>
      </c>
    </row>
    <row r="984" spans="1:7">
      <c r="A984" s="1" t="s">
        <v>73</v>
      </c>
      <c r="B984" s="4">
        <v>40735</v>
      </c>
      <c r="C984" s="1" t="s">
        <v>176</v>
      </c>
      <c r="D984" s="1" t="s">
        <v>150</v>
      </c>
      <c r="E984" s="1">
        <v>2</v>
      </c>
      <c r="F984" s="1" t="s">
        <v>145</v>
      </c>
      <c r="G984" s="1">
        <v>112</v>
      </c>
    </row>
    <row r="985" spans="1:7">
      <c r="A985" s="1" t="s">
        <v>73</v>
      </c>
      <c r="B985" s="4">
        <v>40735</v>
      </c>
      <c r="C985" s="1" t="s">
        <v>176</v>
      </c>
      <c r="D985" s="1" t="s">
        <v>150</v>
      </c>
      <c r="E985" s="1">
        <v>2</v>
      </c>
      <c r="F985" s="1" t="s">
        <v>145</v>
      </c>
      <c r="G985" s="1">
        <v>82</v>
      </c>
    </row>
    <row r="986" spans="1:7">
      <c r="A986" s="1" t="s">
        <v>73</v>
      </c>
      <c r="B986" s="4">
        <v>40735</v>
      </c>
      <c r="C986" s="1" t="s">
        <v>176</v>
      </c>
      <c r="D986" s="1" t="s">
        <v>150</v>
      </c>
      <c r="E986" s="1">
        <v>2</v>
      </c>
      <c r="F986" s="1" t="s">
        <v>145</v>
      </c>
      <c r="G986" s="1">
        <v>74</v>
      </c>
    </row>
    <row r="987" spans="1:7">
      <c r="A987" s="1" t="s">
        <v>73</v>
      </c>
      <c r="B987" s="4">
        <v>40735</v>
      </c>
      <c r="C987" s="1" t="s">
        <v>176</v>
      </c>
      <c r="D987" s="1" t="s">
        <v>150</v>
      </c>
      <c r="E987" s="1">
        <v>2</v>
      </c>
      <c r="F987" s="1" t="s">
        <v>145</v>
      </c>
      <c r="G987" s="1">
        <v>54</v>
      </c>
    </row>
    <row r="988" spans="1:7">
      <c r="A988" s="1" t="s">
        <v>73</v>
      </c>
      <c r="B988" s="4">
        <v>40735</v>
      </c>
      <c r="C988" s="1" t="s">
        <v>176</v>
      </c>
      <c r="D988" s="1" t="s">
        <v>150</v>
      </c>
      <c r="E988" s="1">
        <v>2</v>
      </c>
      <c r="F988" s="1" t="s">
        <v>145</v>
      </c>
      <c r="G988" s="1">
        <v>29</v>
      </c>
    </row>
    <row r="989" spans="1:7">
      <c r="A989" s="1" t="s">
        <v>73</v>
      </c>
      <c r="B989" s="4">
        <v>40735</v>
      </c>
      <c r="C989" s="1" t="s">
        <v>176</v>
      </c>
      <c r="D989" s="1" t="s">
        <v>150</v>
      </c>
      <c r="E989" s="1">
        <v>2</v>
      </c>
      <c r="F989" s="1" t="s">
        <v>145</v>
      </c>
      <c r="G989" s="1">
        <v>30</v>
      </c>
    </row>
    <row r="990" spans="1:7">
      <c r="A990" s="1" t="s">
        <v>73</v>
      </c>
      <c r="B990" s="4">
        <v>40735</v>
      </c>
      <c r="C990" s="1" t="s">
        <v>176</v>
      </c>
      <c r="D990" s="1" t="s">
        <v>150</v>
      </c>
      <c r="E990" s="1">
        <v>2</v>
      </c>
      <c r="F990" s="1" t="s">
        <v>145</v>
      </c>
      <c r="G990" s="1">
        <v>44</v>
      </c>
    </row>
    <row r="991" spans="1:7">
      <c r="A991" s="1" t="s">
        <v>73</v>
      </c>
      <c r="B991" s="4">
        <v>40735</v>
      </c>
      <c r="C991" s="1" t="s">
        <v>176</v>
      </c>
      <c r="D991" s="1" t="s">
        <v>150</v>
      </c>
      <c r="E991" s="1">
        <v>2</v>
      </c>
      <c r="F991" s="1" t="s">
        <v>145</v>
      </c>
      <c r="G991" s="1">
        <v>36</v>
      </c>
    </row>
    <row r="992" spans="1:7">
      <c r="A992" s="1" t="s">
        <v>73</v>
      </c>
      <c r="B992" s="4">
        <v>40735</v>
      </c>
      <c r="C992" s="1" t="s">
        <v>176</v>
      </c>
      <c r="D992" s="1" t="s">
        <v>150</v>
      </c>
      <c r="E992" s="1">
        <v>2</v>
      </c>
      <c r="F992" s="1" t="s">
        <v>145</v>
      </c>
      <c r="G992" s="1">
        <v>36</v>
      </c>
    </row>
    <row r="993" spans="1:7">
      <c r="A993" s="1" t="s">
        <v>73</v>
      </c>
      <c r="B993" s="4">
        <v>40735</v>
      </c>
      <c r="C993" s="1" t="s">
        <v>176</v>
      </c>
      <c r="D993" s="1" t="s">
        <v>150</v>
      </c>
      <c r="E993" s="1">
        <v>2</v>
      </c>
      <c r="F993" s="1" t="s">
        <v>145</v>
      </c>
      <c r="G993" s="1">
        <v>31</v>
      </c>
    </row>
    <row r="994" spans="1:7">
      <c r="A994" s="1" t="s">
        <v>73</v>
      </c>
      <c r="B994" s="4">
        <v>40735</v>
      </c>
      <c r="C994" s="1" t="s">
        <v>176</v>
      </c>
      <c r="D994" s="1" t="s">
        <v>150</v>
      </c>
      <c r="E994" s="1">
        <v>2</v>
      </c>
      <c r="F994" s="1" t="s">
        <v>145</v>
      </c>
      <c r="G994" s="1">
        <v>34</v>
      </c>
    </row>
    <row r="995" spans="1:7">
      <c r="A995" s="1" t="s">
        <v>73</v>
      </c>
      <c r="B995" s="4">
        <v>40735</v>
      </c>
      <c r="C995" s="1" t="s">
        <v>176</v>
      </c>
      <c r="D995" s="1" t="s">
        <v>150</v>
      </c>
      <c r="E995" s="1">
        <v>2</v>
      </c>
      <c r="F995" s="1" t="s">
        <v>145</v>
      </c>
      <c r="G995" s="1">
        <v>56</v>
      </c>
    </row>
    <row r="996" spans="1:7">
      <c r="A996" s="1" t="s">
        <v>73</v>
      </c>
      <c r="B996" s="4">
        <v>40735</v>
      </c>
      <c r="C996" s="1" t="s">
        <v>176</v>
      </c>
      <c r="D996" s="1" t="s">
        <v>150</v>
      </c>
      <c r="E996" s="1">
        <v>2</v>
      </c>
      <c r="F996" s="1" t="s">
        <v>145</v>
      </c>
      <c r="G996" s="1">
        <v>32</v>
      </c>
    </row>
    <row r="997" spans="1:7">
      <c r="A997" s="1" t="s">
        <v>73</v>
      </c>
      <c r="B997" s="4">
        <v>40735</v>
      </c>
      <c r="C997" s="1" t="s">
        <v>176</v>
      </c>
      <c r="D997" s="1" t="s">
        <v>150</v>
      </c>
      <c r="E997" s="1">
        <v>2</v>
      </c>
      <c r="F997" s="1" t="s">
        <v>145</v>
      </c>
      <c r="G997" s="1">
        <v>77</v>
      </c>
    </row>
    <row r="998" spans="1:7">
      <c r="A998" s="1" t="s">
        <v>73</v>
      </c>
      <c r="B998" s="4">
        <v>40735</v>
      </c>
      <c r="C998" s="1" t="s">
        <v>176</v>
      </c>
      <c r="D998" s="1" t="s">
        <v>150</v>
      </c>
      <c r="E998" s="1">
        <v>2</v>
      </c>
      <c r="F998" s="1" t="s">
        <v>145</v>
      </c>
      <c r="G998" s="1">
        <v>56</v>
      </c>
    </row>
    <row r="999" spans="1:7">
      <c r="A999" s="1" t="s">
        <v>73</v>
      </c>
      <c r="B999" s="4">
        <v>40735</v>
      </c>
      <c r="C999" s="1" t="s">
        <v>176</v>
      </c>
      <c r="D999" s="1" t="s">
        <v>150</v>
      </c>
      <c r="E999" s="1">
        <v>2</v>
      </c>
      <c r="F999" s="1" t="s">
        <v>145</v>
      </c>
      <c r="G999" s="1">
        <v>55</v>
      </c>
    </row>
    <row r="1000" spans="1:7">
      <c r="A1000" s="1" t="s">
        <v>73</v>
      </c>
      <c r="B1000" s="4">
        <v>40735</v>
      </c>
      <c r="C1000" s="1" t="s">
        <v>176</v>
      </c>
      <c r="D1000" s="1" t="s">
        <v>150</v>
      </c>
      <c r="E1000" s="1">
        <v>2</v>
      </c>
      <c r="F1000" s="1" t="s">
        <v>145</v>
      </c>
      <c r="G1000" s="1">
        <v>60</v>
      </c>
    </row>
    <row r="1001" spans="1:7">
      <c r="A1001" s="1" t="s">
        <v>73</v>
      </c>
      <c r="B1001" s="4">
        <v>40735</v>
      </c>
      <c r="C1001" s="1" t="s">
        <v>176</v>
      </c>
      <c r="D1001" s="1" t="s">
        <v>150</v>
      </c>
      <c r="E1001" s="1">
        <v>2</v>
      </c>
      <c r="F1001" s="1" t="s">
        <v>145</v>
      </c>
      <c r="G1001" s="1">
        <v>84</v>
      </c>
    </row>
    <row r="1002" spans="1:7">
      <c r="A1002" s="1" t="s">
        <v>73</v>
      </c>
      <c r="B1002" s="4">
        <v>40735</v>
      </c>
      <c r="C1002" s="1" t="s">
        <v>176</v>
      </c>
      <c r="D1002" s="1" t="s">
        <v>150</v>
      </c>
      <c r="E1002" s="1">
        <v>2</v>
      </c>
      <c r="F1002" s="1" t="s">
        <v>145</v>
      </c>
      <c r="G1002" s="1">
        <v>92</v>
      </c>
    </row>
    <row r="1003" spans="1:7">
      <c r="A1003" s="1" t="s">
        <v>73</v>
      </c>
      <c r="B1003" s="4">
        <v>40735</v>
      </c>
      <c r="C1003" s="1" t="s">
        <v>176</v>
      </c>
      <c r="D1003" s="1" t="s">
        <v>150</v>
      </c>
      <c r="E1003" s="1">
        <v>2</v>
      </c>
      <c r="F1003" s="1" t="s">
        <v>145</v>
      </c>
      <c r="G1003" s="1">
        <v>44</v>
      </c>
    </row>
    <row r="1004" spans="1:7">
      <c r="A1004" s="1" t="s">
        <v>73</v>
      </c>
      <c r="B1004" s="4">
        <v>40735</v>
      </c>
      <c r="C1004" s="1" t="s">
        <v>176</v>
      </c>
      <c r="D1004" s="1" t="s">
        <v>150</v>
      </c>
      <c r="E1004" s="1">
        <v>2</v>
      </c>
      <c r="F1004" s="1" t="s">
        <v>145</v>
      </c>
      <c r="G1004" s="1">
        <v>30</v>
      </c>
    </row>
    <row r="1005" spans="1:7">
      <c r="A1005" s="1" t="s">
        <v>73</v>
      </c>
      <c r="B1005" s="4">
        <v>40735</v>
      </c>
      <c r="C1005" s="1" t="s">
        <v>176</v>
      </c>
      <c r="D1005" s="1" t="s">
        <v>150</v>
      </c>
      <c r="E1005" s="1">
        <v>2</v>
      </c>
      <c r="F1005" s="1" t="s">
        <v>145</v>
      </c>
      <c r="G1005" s="1">
        <v>30</v>
      </c>
    </row>
    <row r="1006" spans="1:7">
      <c r="A1006" s="1" t="s">
        <v>73</v>
      </c>
      <c r="B1006" s="4">
        <v>40735</v>
      </c>
      <c r="C1006" s="1" t="s">
        <v>176</v>
      </c>
      <c r="D1006" s="1" t="s">
        <v>150</v>
      </c>
      <c r="E1006" s="1">
        <v>2</v>
      </c>
      <c r="F1006" s="1" t="s">
        <v>145</v>
      </c>
      <c r="G1006" s="1">
        <v>29</v>
      </c>
    </row>
    <row r="1007" spans="1:7">
      <c r="A1007" s="1" t="s">
        <v>73</v>
      </c>
      <c r="B1007" s="4">
        <v>40735</v>
      </c>
      <c r="C1007" s="1" t="s">
        <v>176</v>
      </c>
      <c r="D1007" s="1" t="s">
        <v>150</v>
      </c>
      <c r="E1007" s="1">
        <v>2</v>
      </c>
      <c r="F1007" s="1" t="s">
        <v>145</v>
      </c>
      <c r="G1007" s="1">
        <v>28</v>
      </c>
    </row>
    <row r="1008" spans="1:7">
      <c r="A1008" s="1" t="s">
        <v>73</v>
      </c>
      <c r="B1008" s="4">
        <v>40735</v>
      </c>
      <c r="C1008" s="1" t="s">
        <v>176</v>
      </c>
      <c r="D1008" s="1" t="s">
        <v>150</v>
      </c>
      <c r="E1008" s="1">
        <v>2</v>
      </c>
      <c r="F1008" s="1" t="s">
        <v>145</v>
      </c>
      <c r="G1008" s="1">
        <v>28</v>
      </c>
    </row>
    <row r="1009" spans="1:8">
      <c r="A1009" s="1" t="s">
        <v>73</v>
      </c>
      <c r="B1009" s="4">
        <v>40735</v>
      </c>
      <c r="C1009" s="1" t="s">
        <v>176</v>
      </c>
      <c r="D1009" s="1" t="s">
        <v>150</v>
      </c>
      <c r="E1009" s="1">
        <v>2</v>
      </c>
      <c r="F1009" s="1" t="s">
        <v>145</v>
      </c>
      <c r="G1009" s="1">
        <v>27</v>
      </c>
    </row>
    <row r="1010" spans="1:8">
      <c r="A1010" s="1" t="s">
        <v>73</v>
      </c>
      <c r="B1010" s="4">
        <v>40735</v>
      </c>
      <c r="C1010" s="1" t="s">
        <v>176</v>
      </c>
      <c r="D1010" s="1" t="s">
        <v>150</v>
      </c>
      <c r="E1010" s="1">
        <v>2</v>
      </c>
      <c r="F1010" s="1" t="s">
        <v>145</v>
      </c>
      <c r="G1010" s="1">
        <v>34</v>
      </c>
    </row>
    <row r="1011" spans="1:8">
      <c r="A1011" s="1" t="s">
        <v>73</v>
      </c>
      <c r="B1011" s="4">
        <v>40735</v>
      </c>
      <c r="C1011" s="1" t="s">
        <v>176</v>
      </c>
      <c r="D1011" s="1" t="s">
        <v>150</v>
      </c>
      <c r="E1011" s="1">
        <v>2</v>
      </c>
      <c r="F1011" s="1" t="s">
        <v>145</v>
      </c>
      <c r="G1011" s="1">
        <v>36</v>
      </c>
    </row>
    <row r="1012" spans="1:8">
      <c r="A1012" s="1" t="s">
        <v>73</v>
      </c>
      <c r="B1012" s="4">
        <v>40735</v>
      </c>
      <c r="C1012" s="1" t="s">
        <v>176</v>
      </c>
      <c r="D1012" s="1" t="s">
        <v>150</v>
      </c>
      <c r="E1012" s="1">
        <v>2</v>
      </c>
      <c r="F1012" s="1" t="s">
        <v>145</v>
      </c>
      <c r="G1012" s="1">
        <v>29</v>
      </c>
    </row>
    <row r="1013" spans="1:8">
      <c r="A1013" s="1" t="s">
        <v>73</v>
      </c>
      <c r="B1013" s="4">
        <v>40735</v>
      </c>
      <c r="C1013" s="1" t="s">
        <v>176</v>
      </c>
      <c r="D1013" s="1" t="s">
        <v>150</v>
      </c>
      <c r="E1013" s="1">
        <v>2</v>
      </c>
      <c r="F1013" s="1" t="s">
        <v>145</v>
      </c>
      <c r="G1013" s="1">
        <v>31</v>
      </c>
    </row>
    <row r="1014" spans="1:8">
      <c r="A1014" s="1" t="s">
        <v>73</v>
      </c>
      <c r="B1014" s="4">
        <v>40735</v>
      </c>
      <c r="C1014" s="1" t="s">
        <v>176</v>
      </c>
      <c r="D1014" s="1" t="s">
        <v>150</v>
      </c>
      <c r="E1014" s="1">
        <v>2</v>
      </c>
      <c r="F1014" s="1" t="s">
        <v>145</v>
      </c>
      <c r="G1014" s="1">
        <v>36</v>
      </c>
    </row>
    <row r="1015" spans="1:8">
      <c r="A1015" s="1" t="s">
        <v>73</v>
      </c>
      <c r="B1015" s="4">
        <v>40735</v>
      </c>
      <c r="C1015" s="1" t="s">
        <v>176</v>
      </c>
      <c r="D1015" s="1" t="s">
        <v>150</v>
      </c>
      <c r="E1015" s="1">
        <v>2</v>
      </c>
      <c r="F1015" s="1" t="s">
        <v>145</v>
      </c>
      <c r="G1015" s="1">
        <v>29</v>
      </c>
    </row>
    <row r="1016" spans="1:8">
      <c r="A1016" s="1" t="s">
        <v>73</v>
      </c>
      <c r="B1016" s="4">
        <v>40735</v>
      </c>
      <c r="C1016" s="1" t="s">
        <v>176</v>
      </c>
      <c r="D1016" s="1" t="s">
        <v>150</v>
      </c>
      <c r="E1016" s="1">
        <v>2</v>
      </c>
      <c r="F1016" s="1" t="s">
        <v>145</v>
      </c>
      <c r="G1016" s="1">
        <v>32</v>
      </c>
    </row>
    <row r="1017" spans="1:8">
      <c r="A1017" s="1" t="s">
        <v>73</v>
      </c>
      <c r="B1017" s="4">
        <v>40735</v>
      </c>
      <c r="C1017" s="1" t="s">
        <v>176</v>
      </c>
      <c r="D1017" s="1" t="s">
        <v>150</v>
      </c>
      <c r="E1017" s="1">
        <v>2</v>
      </c>
      <c r="F1017" s="1" t="s">
        <v>145</v>
      </c>
      <c r="G1017" s="1">
        <v>28</v>
      </c>
    </row>
    <row r="1018" spans="1:8">
      <c r="A1018" s="1" t="s">
        <v>73</v>
      </c>
      <c r="B1018" s="4">
        <v>40735</v>
      </c>
      <c r="C1018" s="1" t="s">
        <v>176</v>
      </c>
      <c r="D1018" s="1" t="s">
        <v>150</v>
      </c>
      <c r="E1018" s="1">
        <v>2</v>
      </c>
      <c r="F1018" s="1" t="s">
        <v>145</v>
      </c>
      <c r="G1018" s="1">
        <v>27</v>
      </c>
    </row>
    <row r="1019" spans="1:8">
      <c r="A1019" s="1" t="s">
        <v>73</v>
      </c>
      <c r="B1019" s="4">
        <v>40735</v>
      </c>
      <c r="C1019" s="1" t="s">
        <v>176</v>
      </c>
      <c r="D1019" s="1" t="s">
        <v>150</v>
      </c>
      <c r="E1019" s="1">
        <v>2</v>
      </c>
      <c r="F1019" s="1" t="s">
        <v>145</v>
      </c>
      <c r="G1019" s="1">
        <v>26</v>
      </c>
    </row>
    <row r="1020" spans="1:8">
      <c r="A1020" s="1" t="s">
        <v>73</v>
      </c>
      <c r="B1020" s="4">
        <v>40735</v>
      </c>
      <c r="C1020" s="1" t="s">
        <v>176</v>
      </c>
      <c r="D1020" s="1" t="s">
        <v>150</v>
      </c>
      <c r="E1020" s="1">
        <v>2</v>
      </c>
      <c r="F1020" s="1" t="s">
        <v>145</v>
      </c>
      <c r="G1020" s="1">
        <v>29</v>
      </c>
    </row>
    <row r="1021" spans="1:8">
      <c r="A1021" s="1" t="s">
        <v>73</v>
      </c>
      <c r="B1021" s="4">
        <v>40735</v>
      </c>
      <c r="C1021" s="1" t="s">
        <v>176</v>
      </c>
      <c r="D1021" s="1" t="s">
        <v>150</v>
      </c>
      <c r="E1021" s="1">
        <v>2</v>
      </c>
      <c r="F1021" s="1" t="s">
        <v>145</v>
      </c>
      <c r="G1021" s="1">
        <v>35</v>
      </c>
    </row>
    <row r="1022" spans="1:8">
      <c r="A1022" s="1" t="s">
        <v>74</v>
      </c>
      <c r="B1022" s="4">
        <v>40735</v>
      </c>
      <c r="C1022" s="1" t="s">
        <v>177</v>
      </c>
      <c r="D1022" s="1" t="s">
        <v>141</v>
      </c>
      <c r="E1022" s="1">
        <v>1</v>
      </c>
      <c r="F1022" s="1" t="s">
        <v>145</v>
      </c>
      <c r="G1022" s="1">
        <v>51</v>
      </c>
      <c r="H1022" s="1">
        <v>1.2</v>
      </c>
    </row>
    <row r="1023" spans="1:8">
      <c r="A1023" s="1" t="s">
        <v>74</v>
      </c>
      <c r="B1023" s="4">
        <v>40735</v>
      </c>
      <c r="C1023" s="1" t="s">
        <v>177</v>
      </c>
      <c r="D1023" s="1" t="s">
        <v>141</v>
      </c>
      <c r="E1023" s="1">
        <v>1</v>
      </c>
      <c r="F1023" s="1" t="s">
        <v>145</v>
      </c>
      <c r="G1023" s="1">
        <v>61</v>
      </c>
      <c r="H1023" s="1">
        <v>1.9</v>
      </c>
    </row>
    <row r="1024" spans="1:8">
      <c r="A1024" s="1" t="s">
        <v>74</v>
      </c>
      <c r="B1024" s="4">
        <v>40735</v>
      </c>
      <c r="C1024" s="1" t="s">
        <v>177</v>
      </c>
      <c r="D1024" s="1" t="s">
        <v>141</v>
      </c>
      <c r="E1024" s="1">
        <v>1</v>
      </c>
      <c r="F1024" s="1" t="s">
        <v>145</v>
      </c>
      <c r="G1024" s="1">
        <v>61</v>
      </c>
      <c r="H1024" s="1">
        <v>1.9</v>
      </c>
    </row>
    <row r="1025" spans="1:8">
      <c r="A1025" s="1" t="s">
        <v>74</v>
      </c>
      <c r="B1025" s="4">
        <v>40735</v>
      </c>
      <c r="C1025" s="1" t="s">
        <v>177</v>
      </c>
      <c r="D1025" s="1" t="s">
        <v>141</v>
      </c>
      <c r="E1025" s="1">
        <v>1</v>
      </c>
      <c r="F1025" s="1" t="s">
        <v>145</v>
      </c>
      <c r="G1025" s="1">
        <v>65</v>
      </c>
      <c r="H1025" s="1">
        <v>2.5</v>
      </c>
    </row>
    <row r="1026" spans="1:8">
      <c r="A1026" s="1" t="s">
        <v>74</v>
      </c>
      <c r="B1026" s="4">
        <v>40735</v>
      </c>
      <c r="C1026" s="1" t="s">
        <v>177</v>
      </c>
      <c r="D1026" s="1" t="s">
        <v>141</v>
      </c>
      <c r="E1026" s="1">
        <v>1</v>
      </c>
      <c r="F1026" s="1" t="s">
        <v>145</v>
      </c>
      <c r="G1026" s="1">
        <v>38</v>
      </c>
      <c r="H1026" s="1">
        <v>2.7</v>
      </c>
    </row>
    <row r="1027" spans="1:8">
      <c r="A1027" s="1" t="s">
        <v>74</v>
      </c>
      <c r="B1027" s="4">
        <v>40735</v>
      </c>
      <c r="C1027" s="1" t="s">
        <v>177</v>
      </c>
      <c r="D1027" s="1" t="s">
        <v>141</v>
      </c>
      <c r="E1027" s="1">
        <v>1</v>
      </c>
      <c r="F1027" s="1" t="s">
        <v>145</v>
      </c>
      <c r="G1027" s="1">
        <v>71</v>
      </c>
      <c r="H1027" s="1">
        <v>3.5</v>
      </c>
    </row>
    <row r="1028" spans="1:8">
      <c r="A1028" s="1" t="s">
        <v>74</v>
      </c>
      <c r="B1028" s="4">
        <v>40735</v>
      </c>
      <c r="C1028" s="1" t="s">
        <v>177</v>
      </c>
      <c r="D1028" s="1" t="s">
        <v>141</v>
      </c>
      <c r="E1028" s="1">
        <v>1</v>
      </c>
      <c r="F1028" s="1" t="s">
        <v>145</v>
      </c>
      <c r="G1028" s="1">
        <v>65</v>
      </c>
      <c r="H1028" s="1">
        <v>2.6</v>
      </c>
    </row>
    <row r="1029" spans="1:8">
      <c r="A1029" s="1" t="s">
        <v>74</v>
      </c>
      <c r="B1029" s="4">
        <v>40735</v>
      </c>
      <c r="C1029" s="1" t="s">
        <v>177</v>
      </c>
      <c r="D1029" s="1" t="s">
        <v>141</v>
      </c>
      <c r="E1029" s="1">
        <v>1</v>
      </c>
      <c r="F1029" s="1" t="s">
        <v>145</v>
      </c>
      <c r="G1029" s="1">
        <v>57</v>
      </c>
      <c r="H1029" s="1">
        <v>1.5</v>
      </c>
    </row>
    <row r="1030" spans="1:8">
      <c r="A1030" s="1" t="s">
        <v>74</v>
      </c>
      <c r="B1030" s="4">
        <v>40735</v>
      </c>
      <c r="C1030" s="1" t="s">
        <v>177</v>
      </c>
      <c r="D1030" s="1" t="s">
        <v>141</v>
      </c>
      <c r="E1030" s="1">
        <v>1</v>
      </c>
      <c r="F1030" s="1" t="s">
        <v>145</v>
      </c>
      <c r="G1030" s="1">
        <v>65</v>
      </c>
      <c r="H1030" s="1">
        <v>2.2999999999999998</v>
      </c>
    </row>
    <row r="1031" spans="1:8">
      <c r="A1031" s="1" t="s">
        <v>74</v>
      </c>
      <c r="B1031" s="4">
        <v>40735</v>
      </c>
      <c r="C1031" s="1" t="s">
        <v>177</v>
      </c>
      <c r="D1031" s="1" t="s">
        <v>141</v>
      </c>
      <c r="E1031" s="1">
        <v>1</v>
      </c>
      <c r="F1031" s="1" t="s">
        <v>145</v>
      </c>
      <c r="G1031" s="1">
        <v>62</v>
      </c>
      <c r="H1031" s="1">
        <v>2.1</v>
      </c>
    </row>
    <row r="1032" spans="1:8">
      <c r="A1032" s="1" t="s">
        <v>74</v>
      </c>
      <c r="B1032" s="4">
        <v>40735</v>
      </c>
      <c r="C1032" s="1" t="s">
        <v>177</v>
      </c>
      <c r="D1032" s="1" t="s">
        <v>141</v>
      </c>
      <c r="E1032" s="1">
        <v>1</v>
      </c>
      <c r="F1032" s="1" t="s">
        <v>145</v>
      </c>
      <c r="G1032" s="1">
        <v>70</v>
      </c>
      <c r="H1032" s="1">
        <v>3.4</v>
      </c>
    </row>
    <row r="1033" spans="1:8">
      <c r="A1033" s="1" t="s">
        <v>74</v>
      </c>
      <c r="B1033" s="4">
        <v>40735</v>
      </c>
      <c r="C1033" s="1" t="s">
        <v>177</v>
      </c>
      <c r="D1033" s="1" t="s">
        <v>141</v>
      </c>
      <c r="E1033" s="1">
        <v>1</v>
      </c>
      <c r="F1033" s="1" t="s">
        <v>145</v>
      </c>
      <c r="G1033" s="1">
        <v>60</v>
      </c>
      <c r="H1033" s="1">
        <v>1.9</v>
      </c>
    </row>
    <row r="1034" spans="1:8">
      <c r="A1034" s="1" t="s">
        <v>74</v>
      </c>
      <c r="B1034" s="4">
        <v>40735</v>
      </c>
      <c r="C1034" s="1" t="s">
        <v>177</v>
      </c>
      <c r="D1034" s="1" t="s">
        <v>141</v>
      </c>
      <c r="E1034" s="1">
        <v>1</v>
      </c>
      <c r="F1034" s="1" t="s">
        <v>145</v>
      </c>
      <c r="G1034" s="1">
        <v>73</v>
      </c>
      <c r="H1034" s="1">
        <v>1.3</v>
      </c>
    </row>
    <row r="1035" spans="1:8">
      <c r="A1035" s="1" t="s">
        <v>74</v>
      </c>
      <c r="B1035" s="4">
        <v>40735</v>
      </c>
      <c r="C1035" s="1" t="s">
        <v>177</v>
      </c>
      <c r="D1035" s="1" t="s">
        <v>141</v>
      </c>
      <c r="E1035" s="1">
        <v>1</v>
      </c>
      <c r="F1035" s="1" t="s">
        <v>145</v>
      </c>
      <c r="G1035" s="1">
        <v>68</v>
      </c>
      <c r="H1035" s="1">
        <v>3</v>
      </c>
    </row>
    <row r="1036" spans="1:8">
      <c r="A1036" s="1" t="s">
        <v>74</v>
      </c>
      <c r="B1036" s="4">
        <v>40735</v>
      </c>
      <c r="C1036" s="1" t="s">
        <v>177</v>
      </c>
      <c r="D1036" s="1" t="s">
        <v>141</v>
      </c>
      <c r="E1036" s="1">
        <v>1</v>
      </c>
      <c r="F1036" s="1" t="s">
        <v>145</v>
      </c>
      <c r="G1036" s="1">
        <v>118</v>
      </c>
      <c r="H1036" s="1" t="s">
        <v>175</v>
      </c>
    </row>
    <row r="1037" spans="1:8">
      <c r="A1037" s="1" t="s">
        <v>74</v>
      </c>
      <c r="B1037" s="4">
        <v>40735</v>
      </c>
      <c r="C1037" s="1" t="s">
        <v>177</v>
      </c>
      <c r="D1037" s="1" t="s">
        <v>141</v>
      </c>
      <c r="E1037" s="1">
        <v>1</v>
      </c>
      <c r="F1037" s="1" t="s">
        <v>145</v>
      </c>
      <c r="G1037" s="1">
        <v>60</v>
      </c>
      <c r="H1037" s="1">
        <v>2.4</v>
      </c>
    </row>
    <row r="1038" spans="1:8">
      <c r="A1038" s="1" t="s">
        <v>74</v>
      </c>
      <c r="B1038" s="4">
        <v>40735</v>
      </c>
      <c r="C1038" s="1" t="s">
        <v>177</v>
      </c>
      <c r="D1038" s="1" t="s">
        <v>141</v>
      </c>
      <c r="E1038" s="1">
        <v>1</v>
      </c>
      <c r="F1038" s="1" t="s">
        <v>145</v>
      </c>
      <c r="G1038" s="1">
        <v>69</v>
      </c>
      <c r="H1038" s="1">
        <v>3.5</v>
      </c>
    </row>
    <row r="1039" spans="1:8">
      <c r="A1039" s="1" t="s">
        <v>74</v>
      </c>
      <c r="B1039" s="4">
        <v>40735</v>
      </c>
      <c r="C1039" s="1" t="s">
        <v>177</v>
      </c>
      <c r="D1039" s="1" t="s">
        <v>141</v>
      </c>
      <c r="E1039" s="1">
        <v>1</v>
      </c>
      <c r="F1039" s="1" t="s">
        <v>145</v>
      </c>
      <c r="G1039" s="1">
        <v>55</v>
      </c>
      <c r="H1039" s="1">
        <v>1.4</v>
      </c>
    </row>
    <row r="1040" spans="1:8">
      <c r="A1040" s="1" t="s">
        <v>74</v>
      </c>
      <c r="B1040" s="4">
        <v>40735</v>
      </c>
      <c r="C1040" s="1" t="s">
        <v>177</v>
      </c>
      <c r="D1040" s="1" t="s">
        <v>141</v>
      </c>
      <c r="E1040" s="1">
        <v>1</v>
      </c>
      <c r="F1040" s="1" t="s">
        <v>145</v>
      </c>
      <c r="G1040" s="1">
        <v>65</v>
      </c>
      <c r="H1040" s="1">
        <v>2.5</v>
      </c>
    </row>
    <row r="1041" spans="1:8">
      <c r="A1041" s="1" t="s">
        <v>74</v>
      </c>
      <c r="B1041" s="4">
        <v>40735</v>
      </c>
      <c r="C1041" s="1" t="s">
        <v>177</v>
      </c>
      <c r="D1041" s="1" t="s">
        <v>141</v>
      </c>
      <c r="E1041" s="1">
        <v>2</v>
      </c>
      <c r="F1041" s="1" t="s">
        <v>145</v>
      </c>
      <c r="G1041" s="1">
        <v>81</v>
      </c>
      <c r="H1041" s="1">
        <v>5</v>
      </c>
    </row>
    <row r="1042" spans="1:8">
      <c r="A1042" s="1" t="s">
        <v>74</v>
      </c>
      <c r="B1042" s="4">
        <v>40735</v>
      </c>
      <c r="C1042" s="1" t="s">
        <v>177</v>
      </c>
      <c r="D1042" s="1" t="s">
        <v>141</v>
      </c>
      <c r="E1042" s="1">
        <v>2</v>
      </c>
      <c r="F1042" s="1" t="s">
        <v>145</v>
      </c>
      <c r="G1042" s="1">
        <v>68</v>
      </c>
      <c r="H1042" s="1">
        <v>3</v>
      </c>
    </row>
    <row r="1043" spans="1:8">
      <c r="A1043" s="1" t="s">
        <v>74</v>
      </c>
      <c r="B1043" s="4">
        <v>40735</v>
      </c>
      <c r="C1043" s="1" t="s">
        <v>177</v>
      </c>
      <c r="D1043" s="1" t="s">
        <v>141</v>
      </c>
      <c r="E1043" s="1">
        <v>2</v>
      </c>
      <c r="F1043" s="1" t="s">
        <v>145</v>
      </c>
      <c r="G1043" s="1">
        <v>137</v>
      </c>
      <c r="H1043" s="1" t="s">
        <v>175</v>
      </c>
    </row>
    <row r="1044" spans="1:8">
      <c r="A1044" s="1" t="s">
        <v>74</v>
      </c>
      <c r="B1044" s="4">
        <v>40735</v>
      </c>
      <c r="C1044" s="1" t="s">
        <v>177</v>
      </c>
      <c r="D1044" s="1" t="s">
        <v>141</v>
      </c>
      <c r="E1044" s="1">
        <v>2</v>
      </c>
      <c r="F1044" s="1" t="s">
        <v>145</v>
      </c>
      <c r="G1044" s="1">
        <v>129</v>
      </c>
      <c r="H1044" s="1" t="s">
        <v>175</v>
      </c>
    </row>
    <row r="1045" spans="1:8">
      <c r="A1045" s="1" t="s">
        <v>74</v>
      </c>
      <c r="B1045" s="4">
        <v>40735</v>
      </c>
      <c r="C1045" s="1" t="s">
        <v>177</v>
      </c>
      <c r="D1045" s="1" t="s">
        <v>141</v>
      </c>
      <c r="E1045" s="1">
        <v>2</v>
      </c>
      <c r="F1045" s="1" t="s">
        <v>145</v>
      </c>
      <c r="G1045" s="1">
        <v>120</v>
      </c>
      <c r="H1045" s="1" t="s">
        <v>175</v>
      </c>
    </row>
    <row r="1046" spans="1:8">
      <c r="A1046" s="1" t="s">
        <v>74</v>
      </c>
      <c r="B1046" s="4">
        <v>40735</v>
      </c>
      <c r="C1046" s="1" t="s">
        <v>177</v>
      </c>
      <c r="D1046" s="1" t="s">
        <v>141</v>
      </c>
      <c r="E1046" s="1">
        <v>2</v>
      </c>
      <c r="F1046" s="1" t="s">
        <v>145</v>
      </c>
      <c r="G1046" s="1">
        <v>132</v>
      </c>
      <c r="H1046" s="1" t="s">
        <v>175</v>
      </c>
    </row>
    <row r="1047" spans="1:8">
      <c r="A1047" s="1" t="s">
        <v>74</v>
      </c>
      <c r="B1047" s="4">
        <v>40735</v>
      </c>
      <c r="C1047" s="1" t="s">
        <v>177</v>
      </c>
      <c r="D1047" s="1" t="s">
        <v>141</v>
      </c>
      <c r="E1047" s="1">
        <v>2</v>
      </c>
      <c r="F1047" s="1" t="s">
        <v>145</v>
      </c>
      <c r="G1047" s="1">
        <v>60</v>
      </c>
      <c r="H1047" s="1">
        <v>1.9</v>
      </c>
    </row>
    <row r="1048" spans="1:8">
      <c r="A1048" s="1" t="s">
        <v>74</v>
      </c>
      <c r="B1048" s="4">
        <v>40735</v>
      </c>
      <c r="C1048" s="1" t="s">
        <v>177</v>
      </c>
      <c r="D1048" s="1" t="s">
        <v>141</v>
      </c>
      <c r="E1048" s="1">
        <v>2</v>
      </c>
      <c r="F1048" s="1" t="s">
        <v>145</v>
      </c>
      <c r="G1048" s="1">
        <v>61</v>
      </c>
      <c r="H1048" s="1">
        <v>1.7</v>
      </c>
    </row>
    <row r="1049" spans="1:8">
      <c r="A1049" s="1" t="s">
        <v>74</v>
      </c>
      <c r="B1049" s="4">
        <v>40735</v>
      </c>
      <c r="C1049" s="1" t="s">
        <v>177</v>
      </c>
      <c r="D1049" s="1" t="s">
        <v>147</v>
      </c>
      <c r="E1049" s="1">
        <v>1</v>
      </c>
      <c r="F1049" s="1" t="s">
        <v>145</v>
      </c>
      <c r="G1049" s="1">
        <v>59</v>
      </c>
      <c r="H1049" s="1">
        <v>2.5</v>
      </c>
    </row>
    <row r="1050" spans="1:8">
      <c r="A1050" s="1" t="s">
        <v>74</v>
      </c>
      <c r="B1050" s="4">
        <v>40735</v>
      </c>
      <c r="C1050" s="1" t="s">
        <v>177</v>
      </c>
      <c r="D1050" s="1" t="s">
        <v>147</v>
      </c>
      <c r="E1050" s="1">
        <v>1</v>
      </c>
      <c r="F1050" s="1" t="s">
        <v>145</v>
      </c>
      <c r="G1050" s="1">
        <v>44</v>
      </c>
      <c r="H1050" s="1">
        <v>1.3</v>
      </c>
    </row>
    <row r="1051" spans="1:8">
      <c r="A1051" s="1" t="s">
        <v>74</v>
      </c>
      <c r="B1051" s="4">
        <v>40735</v>
      </c>
      <c r="C1051" s="1" t="s">
        <v>177</v>
      </c>
      <c r="D1051" s="1" t="s">
        <v>147</v>
      </c>
      <c r="E1051" s="1">
        <v>1</v>
      </c>
      <c r="F1051" s="1" t="s">
        <v>145</v>
      </c>
      <c r="G1051" s="1">
        <v>54</v>
      </c>
      <c r="H1051" s="1">
        <v>1.7</v>
      </c>
    </row>
    <row r="1052" spans="1:8">
      <c r="A1052" s="1" t="s">
        <v>74</v>
      </c>
      <c r="B1052" s="4">
        <v>40735</v>
      </c>
      <c r="C1052" s="1" t="s">
        <v>177</v>
      </c>
      <c r="D1052" s="1" t="s">
        <v>147</v>
      </c>
      <c r="E1052" s="1">
        <v>1</v>
      </c>
      <c r="F1052" s="1" t="s">
        <v>145</v>
      </c>
      <c r="G1052" s="1">
        <v>49</v>
      </c>
      <c r="H1052" s="1">
        <v>1</v>
      </c>
    </row>
    <row r="1053" spans="1:8">
      <c r="A1053" s="1" t="s">
        <v>74</v>
      </c>
      <c r="B1053" s="4">
        <v>40735</v>
      </c>
      <c r="C1053" s="1" t="s">
        <v>177</v>
      </c>
      <c r="D1053" s="1" t="s">
        <v>147</v>
      </c>
      <c r="E1053" s="1">
        <v>1</v>
      </c>
      <c r="F1053" s="1" t="s">
        <v>145</v>
      </c>
      <c r="G1053" s="1">
        <v>74</v>
      </c>
      <c r="H1053" s="1">
        <v>4.0999999999999996</v>
      </c>
    </row>
    <row r="1054" spans="1:8">
      <c r="A1054" s="1" t="s">
        <v>74</v>
      </c>
      <c r="B1054" s="4">
        <v>40735</v>
      </c>
      <c r="C1054" s="1" t="s">
        <v>177</v>
      </c>
      <c r="D1054" s="1" t="s">
        <v>147</v>
      </c>
      <c r="E1054" s="1">
        <v>1</v>
      </c>
      <c r="F1054" s="1" t="s">
        <v>145</v>
      </c>
      <c r="G1054" s="1">
        <v>79</v>
      </c>
      <c r="H1054" s="1">
        <v>4.8</v>
      </c>
    </row>
    <row r="1055" spans="1:8">
      <c r="A1055" s="1" t="s">
        <v>74</v>
      </c>
      <c r="B1055" s="4">
        <v>40735</v>
      </c>
      <c r="C1055" s="1" t="s">
        <v>177</v>
      </c>
      <c r="D1055" s="1" t="s">
        <v>147</v>
      </c>
      <c r="E1055" s="1">
        <v>1</v>
      </c>
      <c r="F1055" s="1" t="s">
        <v>145</v>
      </c>
      <c r="G1055" s="1">
        <v>55</v>
      </c>
      <c r="H1055" s="1">
        <v>1.5</v>
      </c>
    </row>
    <row r="1056" spans="1:8">
      <c r="A1056" s="1" t="s">
        <v>74</v>
      </c>
      <c r="B1056" s="4">
        <v>40735</v>
      </c>
      <c r="C1056" s="1" t="s">
        <v>177</v>
      </c>
      <c r="D1056" s="1" t="s">
        <v>147</v>
      </c>
      <c r="E1056" s="1">
        <v>1</v>
      </c>
      <c r="F1056" s="1" t="s">
        <v>145</v>
      </c>
      <c r="G1056" s="1">
        <v>69</v>
      </c>
      <c r="H1056" s="1">
        <v>2.8</v>
      </c>
    </row>
    <row r="1057" spans="1:8">
      <c r="A1057" s="1" t="s">
        <v>74</v>
      </c>
      <c r="B1057" s="4">
        <v>40735</v>
      </c>
      <c r="C1057" s="1" t="s">
        <v>177</v>
      </c>
      <c r="D1057" s="1" t="s">
        <v>147</v>
      </c>
      <c r="E1057" s="1">
        <v>1</v>
      </c>
      <c r="F1057" s="1" t="s">
        <v>145</v>
      </c>
      <c r="G1057" s="1">
        <v>49</v>
      </c>
      <c r="H1057" s="1">
        <v>1.2</v>
      </c>
    </row>
    <row r="1058" spans="1:8">
      <c r="A1058" s="1" t="s">
        <v>74</v>
      </c>
      <c r="B1058" s="4">
        <v>40735</v>
      </c>
      <c r="C1058" s="1" t="s">
        <v>177</v>
      </c>
      <c r="D1058" s="1" t="s">
        <v>147</v>
      </c>
      <c r="E1058" s="1">
        <v>1</v>
      </c>
      <c r="F1058" s="1" t="s">
        <v>145</v>
      </c>
      <c r="G1058" s="1">
        <v>94</v>
      </c>
      <c r="H1058" s="1">
        <v>9.5</v>
      </c>
    </row>
    <row r="1059" spans="1:8">
      <c r="A1059" s="1" t="s">
        <v>74</v>
      </c>
      <c r="B1059" s="4">
        <v>40735</v>
      </c>
      <c r="C1059" s="1" t="s">
        <v>177</v>
      </c>
      <c r="D1059" s="1" t="s">
        <v>147</v>
      </c>
      <c r="E1059" s="1">
        <v>1</v>
      </c>
      <c r="F1059" s="1" t="s">
        <v>145</v>
      </c>
      <c r="G1059" s="1">
        <v>74</v>
      </c>
      <c r="H1059" s="1">
        <v>3.7</v>
      </c>
    </row>
    <row r="1060" spans="1:8">
      <c r="A1060" s="1" t="s">
        <v>74</v>
      </c>
      <c r="B1060" s="4">
        <v>40735</v>
      </c>
      <c r="C1060" s="1" t="s">
        <v>177</v>
      </c>
      <c r="D1060" s="1" t="s">
        <v>147</v>
      </c>
      <c r="E1060" s="1">
        <v>1</v>
      </c>
      <c r="F1060" s="1" t="s">
        <v>145</v>
      </c>
      <c r="G1060" s="1">
        <v>58</v>
      </c>
      <c r="H1060" s="1">
        <v>1.6</v>
      </c>
    </row>
    <row r="1061" spans="1:8">
      <c r="A1061" s="1" t="s">
        <v>74</v>
      </c>
      <c r="B1061" s="4">
        <v>40735</v>
      </c>
      <c r="C1061" s="1" t="s">
        <v>177</v>
      </c>
      <c r="D1061" s="1" t="s">
        <v>147</v>
      </c>
      <c r="E1061" s="1">
        <v>1</v>
      </c>
      <c r="F1061" s="1" t="s">
        <v>145</v>
      </c>
      <c r="G1061" s="1">
        <v>57</v>
      </c>
      <c r="H1061" s="1">
        <v>1.8</v>
      </c>
    </row>
    <row r="1062" spans="1:8">
      <c r="A1062" s="1" t="s">
        <v>74</v>
      </c>
      <c r="B1062" s="4">
        <v>40735</v>
      </c>
      <c r="C1062" s="1" t="s">
        <v>177</v>
      </c>
      <c r="D1062" s="1" t="s">
        <v>147</v>
      </c>
      <c r="E1062" s="1">
        <v>1</v>
      </c>
      <c r="F1062" s="1" t="s">
        <v>145</v>
      </c>
      <c r="G1062" s="1">
        <v>77</v>
      </c>
      <c r="H1062" s="1">
        <v>4.3</v>
      </c>
    </row>
    <row r="1063" spans="1:8">
      <c r="A1063" s="1" t="s">
        <v>74</v>
      </c>
      <c r="B1063" s="4">
        <v>40735</v>
      </c>
      <c r="C1063" s="1" t="s">
        <v>177</v>
      </c>
      <c r="D1063" s="1" t="s">
        <v>147</v>
      </c>
      <c r="E1063" s="1">
        <v>2</v>
      </c>
      <c r="F1063" s="1" t="s">
        <v>145</v>
      </c>
      <c r="G1063" s="1">
        <v>87</v>
      </c>
      <c r="H1063" s="1">
        <v>7.9</v>
      </c>
    </row>
    <row r="1064" spans="1:8">
      <c r="A1064" s="1" t="s">
        <v>74</v>
      </c>
      <c r="B1064" s="4">
        <v>40735</v>
      </c>
      <c r="C1064" s="1" t="s">
        <v>177</v>
      </c>
      <c r="D1064" s="1" t="s">
        <v>147</v>
      </c>
      <c r="E1064" s="1">
        <v>2</v>
      </c>
      <c r="F1064" s="1" t="s">
        <v>145</v>
      </c>
      <c r="G1064" s="1">
        <v>45</v>
      </c>
      <c r="H1064" s="1">
        <v>1.3</v>
      </c>
    </row>
    <row r="1065" spans="1:8">
      <c r="A1065" s="1" t="s">
        <v>74</v>
      </c>
      <c r="B1065" s="4">
        <v>40735</v>
      </c>
      <c r="C1065" s="1" t="s">
        <v>177</v>
      </c>
      <c r="D1065" s="1" t="s">
        <v>147</v>
      </c>
      <c r="E1065" s="1">
        <v>2</v>
      </c>
      <c r="F1065" s="1" t="s">
        <v>145</v>
      </c>
      <c r="G1065" s="1">
        <v>50</v>
      </c>
      <c r="H1065" s="1">
        <v>1.4</v>
      </c>
    </row>
    <row r="1066" spans="1:8">
      <c r="A1066" s="1" t="s">
        <v>74</v>
      </c>
      <c r="B1066" s="4">
        <v>40735</v>
      </c>
      <c r="C1066" s="1" t="s">
        <v>177</v>
      </c>
      <c r="D1066" s="1" t="s">
        <v>147</v>
      </c>
      <c r="E1066" s="1">
        <v>2</v>
      </c>
      <c r="F1066" s="1" t="s">
        <v>145</v>
      </c>
      <c r="G1066" s="1">
        <v>55</v>
      </c>
      <c r="H1066" s="1">
        <v>1.7</v>
      </c>
    </row>
    <row r="1067" spans="1:8">
      <c r="A1067" s="1" t="s">
        <v>74</v>
      </c>
      <c r="B1067" s="4">
        <v>40735</v>
      </c>
      <c r="C1067" s="1" t="s">
        <v>177</v>
      </c>
      <c r="D1067" s="1" t="s">
        <v>147</v>
      </c>
      <c r="E1067" s="1">
        <v>2</v>
      </c>
      <c r="F1067" s="1" t="s">
        <v>145</v>
      </c>
      <c r="G1067" s="1">
        <v>50</v>
      </c>
      <c r="H1067" s="1">
        <v>1.6</v>
      </c>
    </row>
    <row r="1068" spans="1:8">
      <c r="A1068" s="1" t="s">
        <v>74</v>
      </c>
      <c r="B1068" s="4">
        <v>40735</v>
      </c>
      <c r="C1068" s="1" t="s">
        <v>177</v>
      </c>
      <c r="D1068" s="1" t="s">
        <v>147</v>
      </c>
      <c r="E1068" s="1">
        <v>2</v>
      </c>
      <c r="F1068" s="1" t="s">
        <v>145</v>
      </c>
      <c r="G1068" s="1">
        <v>74</v>
      </c>
      <c r="H1068" s="1">
        <v>4.3</v>
      </c>
    </row>
    <row r="1069" spans="1:8">
      <c r="A1069" s="1" t="s">
        <v>74</v>
      </c>
      <c r="B1069" s="4">
        <v>40735</v>
      </c>
      <c r="C1069" s="1" t="s">
        <v>177</v>
      </c>
      <c r="D1069" s="1" t="s">
        <v>147</v>
      </c>
      <c r="E1069" s="1">
        <v>2</v>
      </c>
      <c r="F1069" s="1" t="s">
        <v>145</v>
      </c>
      <c r="G1069" s="1">
        <v>116</v>
      </c>
      <c r="H1069" s="1" t="s">
        <v>175</v>
      </c>
    </row>
    <row r="1070" spans="1:8">
      <c r="A1070" s="1" t="s">
        <v>74</v>
      </c>
      <c r="B1070" s="4">
        <v>40735</v>
      </c>
      <c r="C1070" s="1" t="s">
        <v>177</v>
      </c>
      <c r="D1070" s="1" t="s">
        <v>147</v>
      </c>
      <c r="E1070" s="1">
        <v>2</v>
      </c>
      <c r="F1070" s="1" t="s">
        <v>145</v>
      </c>
      <c r="G1070" s="1">
        <v>61</v>
      </c>
      <c r="H1070" s="1">
        <v>2.2999999999999998</v>
      </c>
    </row>
    <row r="1071" spans="1:8">
      <c r="A1071" s="1" t="s">
        <v>74</v>
      </c>
      <c r="B1071" s="4">
        <v>40735</v>
      </c>
      <c r="C1071" s="1" t="s">
        <v>177</v>
      </c>
      <c r="D1071" s="1" t="s">
        <v>150</v>
      </c>
      <c r="E1071" s="1">
        <v>1</v>
      </c>
      <c r="F1071" s="1" t="s">
        <v>145</v>
      </c>
      <c r="G1071" s="1">
        <v>90</v>
      </c>
      <c r="H1071" s="1">
        <v>7</v>
      </c>
    </row>
    <row r="1072" spans="1:8">
      <c r="A1072" s="1" t="s">
        <v>74</v>
      </c>
      <c r="B1072" s="4">
        <v>40735</v>
      </c>
      <c r="C1072" s="1" t="s">
        <v>177</v>
      </c>
      <c r="D1072" s="1" t="s">
        <v>150</v>
      </c>
      <c r="E1072" s="1">
        <v>1</v>
      </c>
      <c r="F1072" s="1" t="s">
        <v>145</v>
      </c>
      <c r="G1072" s="1">
        <v>65</v>
      </c>
      <c r="H1072" s="1">
        <v>1.6</v>
      </c>
    </row>
    <row r="1073" spans="1:8">
      <c r="A1073" s="1" t="s">
        <v>74</v>
      </c>
      <c r="B1073" s="4">
        <v>40735</v>
      </c>
      <c r="C1073" s="1" t="s">
        <v>177</v>
      </c>
      <c r="D1073" s="1" t="s">
        <v>150</v>
      </c>
      <c r="E1073" s="1">
        <v>2</v>
      </c>
      <c r="F1073" s="1" t="s">
        <v>145</v>
      </c>
      <c r="G1073" s="1">
        <v>96</v>
      </c>
      <c r="H1073" s="1">
        <v>8.3000000000000007</v>
      </c>
    </row>
    <row r="1074" spans="1:8">
      <c r="A1074" s="1" t="s">
        <v>69</v>
      </c>
      <c r="B1074" s="4">
        <v>40723</v>
      </c>
      <c r="C1074" s="1" t="s">
        <v>178</v>
      </c>
      <c r="D1074" s="1" t="s">
        <v>141</v>
      </c>
      <c r="E1074" s="1">
        <v>1</v>
      </c>
      <c r="F1074" s="1" t="s">
        <v>145</v>
      </c>
      <c r="G1074" s="1">
        <v>46</v>
      </c>
      <c r="H1074" s="1">
        <v>0.9</v>
      </c>
    </row>
    <row r="1075" spans="1:8">
      <c r="A1075" s="1" t="s">
        <v>69</v>
      </c>
      <c r="B1075" s="4">
        <v>40723</v>
      </c>
      <c r="C1075" s="1" t="s">
        <v>178</v>
      </c>
      <c r="D1075" s="1" t="s">
        <v>141</v>
      </c>
      <c r="E1075" s="1">
        <v>1</v>
      </c>
      <c r="F1075" s="1" t="s">
        <v>145</v>
      </c>
      <c r="G1075" s="1">
        <v>47</v>
      </c>
      <c r="H1075" s="1">
        <v>1</v>
      </c>
    </row>
    <row r="1076" spans="1:8">
      <c r="A1076" s="1" t="s">
        <v>69</v>
      </c>
      <c r="B1076" s="4">
        <v>40723</v>
      </c>
      <c r="C1076" s="1" t="s">
        <v>178</v>
      </c>
      <c r="D1076" s="1" t="s">
        <v>141</v>
      </c>
      <c r="E1076" s="1">
        <v>1</v>
      </c>
      <c r="F1076" s="1" t="s">
        <v>145</v>
      </c>
      <c r="G1076" s="1">
        <v>50</v>
      </c>
      <c r="H1076" s="1">
        <v>1.3</v>
      </c>
    </row>
    <row r="1077" spans="1:8">
      <c r="A1077" s="1" t="s">
        <v>69</v>
      </c>
      <c r="B1077" s="4">
        <v>40723</v>
      </c>
      <c r="C1077" s="1" t="s">
        <v>178</v>
      </c>
      <c r="D1077" s="1" t="s">
        <v>141</v>
      </c>
      <c r="E1077" s="1">
        <v>1</v>
      </c>
      <c r="F1077" s="1" t="s">
        <v>145</v>
      </c>
      <c r="G1077" s="1">
        <v>49</v>
      </c>
      <c r="H1077" s="1">
        <v>1</v>
      </c>
    </row>
    <row r="1078" spans="1:8">
      <c r="A1078" s="1" t="s">
        <v>69</v>
      </c>
      <c r="B1078" s="4">
        <v>40723</v>
      </c>
      <c r="C1078" s="1" t="s">
        <v>178</v>
      </c>
      <c r="D1078" s="1" t="s">
        <v>141</v>
      </c>
      <c r="E1078" s="1">
        <v>1</v>
      </c>
      <c r="F1078" s="1" t="s">
        <v>145</v>
      </c>
      <c r="G1078" s="1">
        <v>51</v>
      </c>
      <c r="H1078" s="1">
        <v>1.4</v>
      </c>
    </row>
    <row r="1079" spans="1:8">
      <c r="A1079" s="1" t="s">
        <v>69</v>
      </c>
      <c r="B1079" s="4">
        <v>40723</v>
      </c>
      <c r="C1079" s="1" t="s">
        <v>178</v>
      </c>
      <c r="D1079" s="1" t="s">
        <v>141</v>
      </c>
      <c r="E1079" s="1">
        <v>1</v>
      </c>
      <c r="F1079" s="1" t="s">
        <v>145</v>
      </c>
      <c r="G1079" s="1">
        <v>50</v>
      </c>
      <c r="H1079" s="1">
        <v>1.4</v>
      </c>
    </row>
    <row r="1080" spans="1:8">
      <c r="A1080" s="1" t="s">
        <v>69</v>
      </c>
      <c r="B1080" s="4">
        <v>40723</v>
      </c>
      <c r="C1080" s="1" t="s">
        <v>178</v>
      </c>
      <c r="D1080" s="1" t="s">
        <v>141</v>
      </c>
      <c r="E1080" s="1">
        <v>1</v>
      </c>
      <c r="F1080" s="1" t="s">
        <v>145</v>
      </c>
      <c r="G1080" s="1">
        <v>45</v>
      </c>
      <c r="H1080" s="1">
        <v>1</v>
      </c>
    </row>
    <row r="1081" spans="1:8">
      <c r="A1081" s="1" t="s">
        <v>69</v>
      </c>
      <c r="B1081" s="4">
        <v>40723</v>
      </c>
      <c r="C1081" s="1" t="s">
        <v>178</v>
      </c>
      <c r="D1081" s="1" t="s">
        <v>141</v>
      </c>
      <c r="E1081" s="1">
        <v>1</v>
      </c>
      <c r="F1081" s="1" t="s">
        <v>145</v>
      </c>
      <c r="G1081" s="1">
        <v>50</v>
      </c>
      <c r="H1081" s="1">
        <v>1.4</v>
      </c>
    </row>
    <row r="1082" spans="1:8">
      <c r="A1082" s="1" t="s">
        <v>69</v>
      </c>
      <c r="B1082" s="4">
        <v>40723</v>
      </c>
      <c r="C1082" s="1" t="s">
        <v>178</v>
      </c>
      <c r="D1082" s="1" t="s">
        <v>141</v>
      </c>
      <c r="E1082" s="1">
        <v>1</v>
      </c>
      <c r="F1082" s="1" t="s">
        <v>145</v>
      </c>
      <c r="G1082" s="1">
        <v>48</v>
      </c>
      <c r="H1082" s="1">
        <v>0.9</v>
      </c>
    </row>
    <row r="1083" spans="1:8">
      <c r="A1083" s="1" t="s">
        <v>69</v>
      </c>
      <c r="B1083" s="4">
        <v>40723</v>
      </c>
      <c r="C1083" s="1" t="s">
        <v>178</v>
      </c>
      <c r="D1083" s="1" t="s">
        <v>141</v>
      </c>
      <c r="E1083" s="1">
        <v>1</v>
      </c>
      <c r="F1083" s="1" t="s">
        <v>145</v>
      </c>
      <c r="G1083" s="1">
        <v>49</v>
      </c>
      <c r="H1083" s="1">
        <v>0.9</v>
      </c>
    </row>
    <row r="1084" spans="1:8">
      <c r="A1084" s="1" t="s">
        <v>69</v>
      </c>
      <c r="B1084" s="4">
        <v>40723</v>
      </c>
      <c r="C1084" s="1" t="s">
        <v>178</v>
      </c>
      <c r="D1084" s="1" t="s">
        <v>141</v>
      </c>
      <c r="E1084" s="1">
        <v>1</v>
      </c>
      <c r="F1084" s="1" t="s">
        <v>145</v>
      </c>
      <c r="G1084" s="1">
        <v>64</v>
      </c>
      <c r="H1084" s="1">
        <v>2.4</v>
      </c>
    </row>
    <row r="1085" spans="1:8">
      <c r="A1085" s="1" t="s">
        <v>69</v>
      </c>
      <c r="B1085" s="4">
        <v>40723</v>
      </c>
      <c r="C1085" s="1" t="s">
        <v>178</v>
      </c>
      <c r="D1085" s="1" t="s">
        <v>141</v>
      </c>
      <c r="E1085" s="1">
        <v>1</v>
      </c>
      <c r="F1085" s="1" t="s">
        <v>145</v>
      </c>
      <c r="G1085" s="1">
        <v>107</v>
      </c>
    </row>
    <row r="1086" spans="1:8">
      <c r="A1086" s="1" t="s">
        <v>69</v>
      </c>
      <c r="B1086" s="4">
        <v>40723</v>
      </c>
      <c r="C1086" s="1" t="s">
        <v>178</v>
      </c>
      <c r="D1086" s="1" t="s">
        <v>141</v>
      </c>
      <c r="E1086" s="1">
        <v>1</v>
      </c>
      <c r="F1086" s="1" t="s">
        <v>145</v>
      </c>
      <c r="G1086" s="1">
        <v>54</v>
      </c>
      <c r="H1086" s="1">
        <v>1.6</v>
      </c>
    </row>
    <row r="1087" spans="1:8">
      <c r="A1087" s="1" t="s">
        <v>69</v>
      </c>
      <c r="B1087" s="4">
        <v>40723</v>
      </c>
      <c r="C1087" s="1" t="s">
        <v>178</v>
      </c>
      <c r="D1087" s="1" t="s">
        <v>141</v>
      </c>
      <c r="E1087" s="1">
        <v>1</v>
      </c>
      <c r="F1087" s="1" t="s">
        <v>145</v>
      </c>
      <c r="G1087" s="1">
        <v>54</v>
      </c>
      <c r="H1087" s="1">
        <v>1.2</v>
      </c>
    </row>
    <row r="1088" spans="1:8">
      <c r="A1088" s="1" t="s">
        <v>69</v>
      </c>
      <c r="B1088" s="4">
        <v>40723</v>
      </c>
      <c r="C1088" s="1" t="s">
        <v>178</v>
      </c>
      <c r="D1088" s="1" t="s">
        <v>141</v>
      </c>
      <c r="E1088" s="1">
        <v>1</v>
      </c>
      <c r="F1088" s="1" t="s">
        <v>145</v>
      </c>
      <c r="G1088" s="1">
        <v>54</v>
      </c>
      <c r="H1088" s="1">
        <v>1.4</v>
      </c>
    </row>
    <row r="1089" spans="1:8">
      <c r="A1089" s="1" t="s">
        <v>69</v>
      </c>
      <c r="B1089" s="4">
        <v>40723</v>
      </c>
      <c r="C1089" s="1" t="s">
        <v>178</v>
      </c>
      <c r="D1089" s="1" t="s">
        <v>141</v>
      </c>
      <c r="E1089" s="1">
        <v>1</v>
      </c>
      <c r="F1089" s="1" t="s">
        <v>145</v>
      </c>
      <c r="G1089" s="1">
        <v>47</v>
      </c>
      <c r="H1089" s="1">
        <v>1.3</v>
      </c>
    </row>
    <row r="1090" spans="1:8">
      <c r="A1090" s="1" t="s">
        <v>69</v>
      </c>
      <c r="B1090" s="4">
        <v>40723</v>
      </c>
      <c r="C1090" s="1" t="s">
        <v>178</v>
      </c>
      <c r="D1090" s="1" t="s">
        <v>141</v>
      </c>
      <c r="E1090" s="1">
        <v>1</v>
      </c>
      <c r="F1090" s="1" t="s">
        <v>145</v>
      </c>
      <c r="G1090" s="1">
        <v>50</v>
      </c>
      <c r="H1090" s="1">
        <v>1.2</v>
      </c>
    </row>
    <row r="1091" spans="1:8">
      <c r="A1091" s="1" t="s">
        <v>69</v>
      </c>
      <c r="B1091" s="4">
        <v>40723</v>
      </c>
      <c r="C1091" s="1" t="s">
        <v>178</v>
      </c>
      <c r="D1091" s="1" t="s">
        <v>141</v>
      </c>
      <c r="E1091" s="1">
        <v>1</v>
      </c>
      <c r="F1091" s="1" t="s">
        <v>145</v>
      </c>
      <c r="G1091" s="1">
        <v>55</v>
      </c>
      <c r="H1091" s="1">
        <v>1.5</v>
      </c>
    </row>
    <row r="1092" spans="1:8">
      <c r="A1092" s="1" t="s">
        <v>69</v>
      </c>
      <c r="B1092" s="4">
        <v>40723</v>
      </c>
      <c r="C1092" s="1" t="s">
        <v>178</v>
      </c>
      <c r="D1092" s="1" t="s">
        <v>141</v>
      </c>
      <c r="E1092" s="1">
        <v>1</v>
      </c>
      <c r="F1092" s="1" t="s">
        <v>145</v>
      </c>
      <c r="G1092" s="1">
        <v>93</v>
      </c>
      <c r="H1092" s="1">
        <v>7</v>
      </c>
    </row>
    <row r="1093" spans="1:8">
      <c r="A1093" s="1" t="s">
        <v>69</v>
      </c>
      <c r="B1093" s="4">
        <v>40723</v>
      </c>
      <c r="C1093" s="1" t="s">
        <v>178</v>
      </c>
      <c r="D1093" s="1" t="s">
        <v>141</v>
      </c>
      <c r="E1093" s="1">
        <v>1</v>
      </c>
      <c r="F1093" s="1" t="s">
        <v>145</v>
      </c>
      <c r="G1093" s="1">
        <v>52</v>
      </c>
      <c r="H1093" s="1">
        <v>1.1000000000000001</v>
      </c>
    </row>
    <row r="1094" spans="1:8">
      <c r="A1094" s="1" t="s">
        <v>69</v>
      </c>
      <c r="B1094" s="4">
        <v>40723</v>
      </c>
      <c r="C1094" s="1" t="s">
        <v>178</v>
      </c>
      <c r="D1094" s="1" t="s">
        <v>141</v>
      </c>
      <c r="E1094" s="1">
        <v>1</v>
      </c>
      <c r="F1094" s="1" t="s">
        <v>145</v>
      </c>
      <c r="G1094" s="1">
        <v>84</v>
      </c>
      <c r="H1094" s="1">
        <v>5.4</v>
      </c>
    </row>
    <row r="1095" spans="1:8">
      <c r="A1095" s="1" t="s">
        <v>69</v>
      </c>
      <c r="B1095" s="4">
        <v>40723</v>
      </c>
      <c r="C1095" s="1" t="s">
        <v>178</v>
      </c>
      <c r="D1095" s="1" t="s">
        <v>141</v>
      </c>
      <c r="E1095" s="1">
        <v>1</v>
      </c>
      <c r="F1095" s="1" t="s">
        <v>145</v>
      </c>
      <c r="G1095" s="1">
        <v>41</v>
      </c>
    </row>
    <row r="1096" spans="1:8">
      <c r="A1096" s="1" t="s">
        <v>69</v>
      </c>
      <c r="B1096" s="4">
        <v>40723</v>
      </c>
      <c r="C1096" s="1" t="s">
        <v>178</v>
      </c>
      <c r="D1096" s="1" t="s">
        <v>141</v>
      </c>
      <c r="E1096" s="1">
        <v>1</v>
      </c>
      <c r="F1096" s="1" t="s">
        <v>145</v>
      </c>
      <c r="G1096" s="1">
        <v>46</v>
      </c>
      <c r="H1096" s="1">
        <v>1</v>
      </c>
    </row>
    <row r="1097" spans="1:8">
      <c r="A1097" s="1" t="s">
        <v>69</v>
      </c>
      <c r="B1097" s="4">
        <v>40723</v>
      </c>
      <c r="C1097" s="1" t="s">
        <v>178</v>
      </c>
      <c r="D1097" s="1" t="s">
        <v>141</v>
      </c>
      <c r="E1097" s="1">
        <v>1</v>
      </c>
      <c r="F1097" s="1" t="s">
        <v>145</v>
      </c>
      <c r="G1097" s="1">
        <v>52</v>
      </c>
      <c r="H1097" s="1">
        <v>1.1000000000000001</v>
      </c>
    </row>
    <row r="1098" spans="1:8">
      <c r="A1098" s="1" t="s">
        <v>69</v>
      </c>
      <c r="B1098" s="4">
        <v>40723</v>
      </c>
      <c r="C1098" s="1" t="s">
        <v>178</v>
      </c>
      <c r="D1098" s="1" t="s">
        <v>141</v>
      </c>
      <c r="E1098" s="1">
        <v>1</v>
      </c>
      <c r="F1098" s="1" t="s">
        <v>145</v>
      </c>
      <c r="G1098" s="1">
        <v>48</v>
      </c>
      <c r="H1098" s="1">
        <v>1</v>
      </c>
    </row>
    <row r="1099" spans="1:8">
      <c r="A1099" s="1" t="s">
        <v>69</v>
      </c>
      <c r="B1099" s="4">
        <v>40723</v>
      </c>
      <c r="C1099" s="1" t="s">
        <v>178</v>
      </c>
      <c r="D1099" s="1" t="s">
        <v>141</v>
      </c>
      <c r="E1099" s="1">
        <v>1</v>
      </c>
      <c r="F1099" s="1" t="s">
        <v>145</v>
      </c>
      <c r="G1099" s="1">
        <v>54</v>
      </c>
      <c r="H1099" s="1">
        <v>1.4</v>
      </c>
    </row>
    <row r="1100" spans="1:8">
      <c r="A1100" s="1" t="s">
        <v>69</v>
      </c>
      <c r="B1100" s="4">
        <v>40723</v>
      </c>
      <c r="C1100" s="1" t="s">
        <v>178</v>
      </c>
      <c r="D1100" s="1" t="s">
        <v>141</v>
      </c>
      <c r="E1100" s="1">
        <v>1</v>
      </c>
      <c r="F1100" s="1" t="s">
        <v>145</v>
      </c>
      <c r="G1100" s="1">
        <v>54</v>
      </c>
      <c r="H1100" s="1">
        <v>1.1000000000000001</v>
      </c>
    </row>
    <row r="1101" spans="1:8">
      <c r="A1101" s="1" t="s">
        <v>69</v>
      </c>
      <c r="B1101" s="4">
        <v>40723</v>
      </c>
      <c r="C1101" s="1" t="s">
        <v>178</v>
      </c>
      <c r="D1101" s="1" t="s">
        <v>141</v>
      </c>
      <c r="E1101" s="1">
        <v>1</v>
      </c>
      <c r="F1101" s="1" t="s">
        <v>145</v>
      </c>
      <c r="G1101" s="1">
        <v>49</v>
      </c>
      <c r="H1101" s="1">
        <v>1</v>
      </c>
    </row>
    <row r="1102" spans="1:8">
      <c r="A1102" s="1" t="s">
        <v>69</v>
      </c>
      <c r="B1102" s="4">
        <v>40723</v>
      </c>
      <c r="C1102" s="1" t="s">
        <v>178</v>
      </c>
      <c r="D1102" s="1" t="s">
        <v>141</v>
      </c>
      <c r="E1102" s="1">
        <v>1</v>
      </c>
      <c r="F1102" s="1" t="s">
        <v>145</v>
      </c>
      <c r="G1102" s="1">
        <v>27</v>
      </c>
    </row>
    <row r="1103" spans="1:8">
      <c r="A1103" s="1" t="s">
        <v>69</v>
      </c>
      <c r="B1103" s="4">
        <v>40723</v>
      </c>
      <c r="C1103" s="1" t="s">
        <v>178</v>
      </c>
      <c r="D1103" s="1" t="s">
        <v>141</v>
      </c>
      <c r="E1103" s="1">
        <v>1</v>
      </c>
      <c r="F1103" s="1" t="s">
        <v>145</v>
      </c>
      <c r="G1103" s="1">
        <v>29</v>
      </c>
    </row>
    <row r="1104" spans="1:8">
      <c r="A1104" s="1" t="s">
        <v>69</v>
      </c>
      <c r="B1104" s="4">
        <v>40723</v>
      </c>
      <c r="C1104" s="1" t="s">
        <v>178</v>
      </c>
      <c r="D1104" s="1" t="s">
        <v>141</v>
      </c>
      <c r="E1104" s="1">
        <v>1</v>
      </c>
      <c r="F1104" s="1" t="s">
        <v>145</v>
      </c>
      <c r="G1104" s="1">
        <v>29</v>
      </c>
    </row>
    <row r="1105" spans="1:8">
      <c r="A1105" s="1" t="s">
        <v>69</v>
      </c>
      <c r="B1105" s="4">
        <v>40723</v>
      </c>
      <c r="C1105" s="1" t="s">
        <v>178</v>
      </c>
      <c r="D1105" s="1" t="s">
        <v>141</v>
      </c>
      <c r="E1105" s="1">
        <v>1</v>
      </c>
      <c r="F1105" s="1" t="s">
        <v>145</v>
      </c>
      <c r="G1105" s="1">
        <v>28</v>
      </c>
    </row>
    <row r="1106" spans="1:8">
      <c r="A1106" s="1" t="s">
        <v>69</v>
      </c>
      <c r="B1106" s="4">
        <v>40723</v>
      </c>
      <c r="C1106" s="1" t="s">
        <v>178</v>
      </c>
      <c r="D1106" s="1" t="s">
        <v>141</v>
      </c>
      <c r="E1106" s="1">
        <v>1</v>
      </c>
      <c r="F1106" s="1" t="s">
        <v>145</v>
      </c>
      <c r="G1106" s="1">
        <v>52</v>
      </c>
    </row>
    <row r="1107" spans="1:8">
      <c r="A1107" s="1" t="s">
        <v>69</v>
      </c>
      <c r="B1107" s="4">
        <v>40723</v>
      </c>
      <c r="C1107" s="1" t="s">
        <v>178</v>
      </c>
      <c r="D1107" s="1" t="s">
        <v>141</v>
      </c>
      <c r="E1107" s="1">
        <v>1</v>
      </c>
      <c r="F1107" s="1" t="s">
        <v>145</v>
      </c>
      <c r="G1107" s="1">
        <v>39</v>
      </c>
    </row>
    <row r="1108" spans="1:8">
      <c r="A1108" s="1" t="s">
        <v>69</v>
      </c>
      <c r="B1108" s="4">
        <v>40723</v>
      </c>
      <c r="C1108" s="1" t="s">
        <v>178</v>
      </c>
      <c r="D1108" s="1" t="s">
        <v>141</v>
      </c>
      <c r="E1108" s="1">
        <v>1</v>
      </c>
      <c r="F1108" s="1" t="s">
        <v>142</v>
      </c>
      <c r="G1108" s="1">
        <v>72</v>
      </c>
      <c r="H1108" s="1">
        <v>4.5</v>
      </c>
    </row>
    <row r="1109" spans="1:8">
      <c r="A1109" s="1" t="s">
        <v>69</v>
      </c>
      <c r="B1109" s="4">
        <v>40723</v>
      </c>
      <c r="C1109" s="1" t="s">
        <v>178</v>
      </c>
      <c r="D1109" s="1" t="s">
        <v>141</v>
      </c>
      <c r="E1109" s="1">
        <v>1</v>
      </c>
      <c r="F1109" s="1" t="s">
        <v>142</v>
      </c>
      <c r="G1109" s="1">
        <v>79</v>
      </c>
      <c r="H1109" s="1">
        <v>5.0999999999999996</v>
      </c>
    </row>
    <row r="1110" spans="1:8">
      <c r="A1110" s="1" t="s">
        <v>69</v>
      </c>
      <c r="B1110" s="4">
        <v>40723</v>
      </c>
      <c r="C1110" s="1" t="s">
        <v>178</v>
      </c>
      <c r="D1110" s="1" t="s">
        <v>141</v>
      </c>
      <c r="E1110" s="1">
        <v>1</v>
      </c>
      <c r="F1110" s="1" t="s">
        <v>142</v>
      </c>
      <c r="G1110" s="1">
        <v>76</v>
      </c>
      <c r="H1110" s="1">
        <v>4.5999999999999996</v>
      </c>
    </row>
    <row r="1111" spans="1:8">
      <c r="A1111" s="1" t="s">
        <v>69</v>
      </c>
      <c r="B1111" s="4">
        <v>40723</v>
      </c>
      <c r="C1111" s="1" t="s">
        <v>178</v>
      </c>
      <c r="D1111" s="1" t="s">
        <v>141</v>
      </c>
      <c r="E1111" s="1">
        <v>1</v>
      </c>
      <c r="F1111" s="1" t="s">
        <v>179</v>
      </c>
      <c r="G1111" s="1">
        <v>80</v>
      </c>
      <c r="H1111" s="1">
        <v>4.5</v>
      </c>
    </row>
    <row r="1112" spans="1:8">
      <c r="A1112" s="1" t="s">
        <v>69</v>
      </c>
      <c r="B1112" s="4">
        <v>40723</v>
      </c>
      <c r="C1112" s="1" t="s">
        <v>178</v>
      </c>
      <c r="D1112" s="1" t="s">
        <v>141</v>
      </c>
      <c r="E1112" s="1">
        <v>1</v>
      </c>
      <c r="F1112" s="1" t="s">
        <v>179</v>
      </c>
      <c r="G1112" s="1">
        <v>91</v>
      </c>
      <c r="H1112" s="1">
        <v>9.6999999999999993</v>
      </c>
    </row>
    <row r="1113" spans="1:8">
      <c r="A1113" s="1" t="s">
        <v>69</v>
      </c>
      <c r="B1113" s="4">
        <v>40723</v>
      </c>
      <c r="C1113" s="1" t="s">
        <v>178</v>
      </c>
      <c r="D1113" s="1" t="s">
        <v>141</v>
      </c>
      <c r="E1113" s="1">
        <v>2</v>
      </c>
      <c r="F1113" s="1" t="s">
        <v>145</v>
      </c>
      <c r="G1113" s="1">
        <v>56</v>
      </c>
      <c r="H1113" s="1">
        <v>1.7</v>
      </c>
    </row>
    <row r="1114" spans="1:8">
      <c r="A1114" s="1" t="s">
        <v>69</v>
      </c>
      <c r="B1114" s="4">
        <v>40723</v>
      </c>
      <c r="C1114" s="1" t="s">
        <v>178</v>
      </c>
      <c r="D1114" s="1" t="s">
        <v>141</v>
      </c>
      <c r="E1114" s="1">
        <v>2</v>
      </c>
      <c r="F1114" s="1" t="s">
        <v>145</v>
      </c>
      <c r="G1114" s="1">
        <v>48</v>
      </c>
      <c r="H1114" s="1">
        <v>1</v>
      </c>
    </row>
    <row r="1115" spans="1:8">
      <c r="A1115" s="1" t="s">
        <v>69</v>
      </c>
      <c r="B1115" s="4">
        <v>40723</v>
      </c>
      <c r="C1115" s="1" t="s">
        <v>178</v>
      </c>
      <c r="D1115" s="1" t="s">
        <v>141</v>
      </c>
      <c r="E1115" s="1">
        <v>2</v>
      </c>
      <c r="F1115" s="1" t="s">
        <v>145</v>
      </c>
      <c r="G1115" s="1">
        <v>55</v>
      </c>
      <c r="H1115" s="1">
        <v>1.2</v>
      </c>
    </row>
    <row r="1116" spans="1:8">
      <c r="A1116" s="1" t="s">
        <v>69</v>
      </c>
      <c r="B1116" s="4">
        <v>40723</v>
      </c>
      <c r="C1116" s="1" t="s">
        <v>178</v>
      </c>
      <c r="D1116" s="1" t="s">
        <v>141</v>
      </c>
      <c r="E1116" s="1">
        <v>2</v>
      </c>
      <c r="F1116" s="1" t="s">
        <v>145</v>
      </c>
      <c r="G1116" s="1">
        <v>51</v>
      </c>
      <c r="H1116" s="1">
        <v>1.6</v>
      </c>
    </row>
    <row r="1117" spans="1:8">
      <c r="A1117" s="1" t="s">
        <v>69</v>
      </c>
      <c r="B1117" s="4">
        <v>40723</v>
      </c>
      <c r="C1117" s="1" t="s">
        <v>178</v>
      </c>
      <c r="D1117" s="1" t="s">
        <v>141</v>
      </c>
      <c r="E1117" s="1">
        <v>2</v>
      </c>
      <c r="F1117" s="1" t="s">
        <v>145</v>
      </c>
      <c r="G1117" s="1">
        <v>48</v>
      </c>
      <c r="H1117" s="1">
        <v>0.7</v>
      </c>
    </row>
    <row r="1118" spans="1:8">
      <c r="A1118" s="1" t="s">
        <v>69</v>
      </c>
      <c r="B1118" s="4">
        <v>40723</v>
      </c>
      <c r="C1118" s="1" t="s">
        <v>178</v>
      </c>
      <c r="D1118" s="1" t="s">
        <v>141</v>
      </c>
      <c r="E1118" s="1">
        <v>2</v>
      </c>
      <c r="F1118" s="1" t="s">
        <v>145</v>
      </c>
      <c r="G1118" s="1">
        <v>46</v>
      </c>
      <c r="H1118" s="1">
        <v>1</v>
      </c>
    </row>
    <row r="1119" spans="1:8">
      <c r="A1119" s="1" t="s">
        <v>69</v>
      </c>
      <c r="B1119" s="4">
        <v>40723</v>
      </c>
      <c r="C1119" s="1" t="s">
        <v>178</v>
      </c>
      <c r="D1119" s="1" t="s">
        <v>141</v>
      </c>
      <c r="E1119" s="1">
        <v>2</v>
      </c>
      <c r="F1119" s="1" t="s">
        <v>145</v>
      </c>
      <c r="G1119" s="1">
        <v>49</v>
      </c>
      <c r="H1119" s="1">
        <v>1.3</v>
      </c>
    </row>
    <row r="1120" spans="1:8">
      <c r="A1120" s="1" t="s">
        <v>69</v>
      </c>
      <c r="B1120" s="4">
        <v>40723</v>
      </c>
      <c r="C1120" s="1" t="s">
        <v>178</v>
      </c>
      <c r="D1120" s="1" t="s">
        <v>141</v>
      </c>
      <c r="E1120" s="1">
        <v>2</v>
      </c>
      <c r="F1120" s="1" t="s">
        <v>145</v>
      </c>
      <c r="G1120" s="1">
        <v>48</v>
      </c>
      <c r="H1120" s="1">
        <v>0.9</v>
      </c>
    </row>
    <row r="1121" spans="1:8">
      <c r="A1121" s="1" t="s">
        <v>69</v>
      </c>
      <c r="B1121" s="4">
        <v>40723</v>
      </c>
      <c r="C1121" s="1" t="s">
        <v>178</v>
      </c>
      <c r="D1121" s="1" t="s">
        <v>141</v>
      </c>
      <c r="E1121" s="1">
        <v>2</v>
      </c>
      <c r="F1121" s="1" t="s">
        <v>145</v>
      </c>
      <c r="G1121" s="1">
        <v>51</v>
      </c>
      <c r="H1121" s="1">
        <v>1.6</v>
      </c>
    </row>
    <row r="1122" spans="1:8">
      <c r="A1122" s="1" t="s">
        <v>69</v>
      </c>
      <c r="B1122" s="4">
        <v>40723</v>
      </c>
      <c r="C1122" s="1" t="s">
        <v>178</v>
      </c>
      <c r="D1122" s="1" t="s">
        <v>141</v>
      </c>
      <c r="E1122" s="1">
        <v>2</v>
      </c>
      <c r="F1122" s="1" t="s">
        <v>145</v>
      </c>
      <c r="G1122" s="1">
        <v>52</v>
      </c>
      <c r="H1122" s="1">
        <v>1.5</v>
      </c>
    </row>
    <row r="1123" spans="1:8">
      <c r="A1123" s="1" t="s">
        <v>69</v>
      </c>
      <c r="B1123" s="4">
        <v>40723</v>
      </c>
      <c r="C1123" s="1" t="s">
        <v>178</v>
      </c>
      <c r="D1123" s="1" t="s">
        <v>141</v>
      </c>
      <c r="E1123" s="1">
        <v>2</v>
      </c>
      <c r="F1123" s="1" t="s">
        <v>145</v>
      </c>
      <c r="G1123" s="1">
        <v>51</v>
      </c>
      <c r="H1123" s="1">
        <v>1.4</v>
      </c>
    </row>
    <row r="1124" spans="1:8">
      <c r="A1124" s="1" t="s">
        <v>69</v>
      </c>
      <c r="B1124" s="4">
        <v>40723</v>
      </c>
      <c r="C1124" s="1" t="s">
        <v>178</v>
      </c>
      <c r="D1124" s="1" t="s">
        <v>141</v>
      </c>
      <c r="E1124" s="1">
        <v>2</v>
      </c>
      <c r="F1124" s="1" t="s">
        <v>145</v>
      </c>
      <c r="G1124" s="1">
        <v>40</v>
      </c>
      <c r="H1124" s="1">
        <v>0.6</v>
      </c>
    </row>
    <row r="1125" spans="1:8">
      <c r="A1125" s="1" t="s">
        <v>69</v>
      </c>
      <c r="B1125" s="4">
        <v>40723</v>
      </c>
      <c r="C1125" s="1" t="s">
        <v>178</v>
      </c>
      <c r="D1125" s="1" t="s">
        <v>141</v>
      </c>
      <c r="E1125" s="1">
        <v>2</v>
      </c>
      <c r="F1125" s="1" t="s">
        <v>145</v>
      </c>
      <c r="G1125" s="1">
        <v>40</v>
      </c>
    </row>
    <row r="1126" spans="1:8">
      <c r="A1126" s="1" t="s">
        <v>69</v>
      </c>
      <c r="B1126" s="4">
        <v>40723</v>
      </c>
      <c r="C1126" s="1" t="s">
        <v>178</v>
      </c>
      <c r="D1126" s="1" t="s">
        <v>141</v>
      </c>
      <c r="E1126" s="1">
        <v>2</v>
      </c>
      <c r="F1126" s="1" t="s">
        <v>145</v>
      </c>
      <c r="G1126" s="1">
        <v>50</v>
      </c>
      <c r="H1126" s="1">
        <v>1.1000000000000001</v>
      </c>
    </row>
    <row r="1127" spans="1:8">
      <c r="A1127" s="1" t="s">
        <v>69</v>
      </c>
      <c r="B1127" s="4">
        <v>40723</v>
      </c>
      <c r="C1127" s="1" t="s">
        <v>178</v>
      </c>
      <c r="D1127" s="1" t="s">
        <v>141</v>
      </c>
      <c r="E1127" s="1">
        <v>2</v>
      </c>
      <c r="F1127" s="1" t="s">
        <v>145</v>
      </c>
      <c r="G1127" s="1">
        <v>54</v>
      </c>
      <c r="H1127" s="1">
        <v>1.9</v>
      </c>
    </row>
    <row r="1128" spans="1:8">
      <c r="A1128" s="1" t="s">
        <v>69</v>
      </c>
      <c r="B1128" s="4">
        <v>40723</v>
      </c>
      <c r="C1128" s="1" t="s">
        <v>178</v>
      </c>
      <c r="D1128" s="1" t="s">
        <v>141</v>
      </c>
      <c r="E1128" s="1">
        <v>2</v>
      </c>
      <c r="F1128" s="1" t="s">
        <v>145</v>
      </c>
      <c r="G1128" s="1">
        <v>45</v>
      </c>
      <c r="H1128" s="1">
        <v>1.1000000000000001</v>
      </c>
    </row>
    <row r="1129" spans="1:8">
      <c r="A1129" s="1" t="s">
        <v>69</v>
      </c>
      <c r="B1129" s="4">
        <v>40723</v>
      </c>
      <c r="C1129" s="1" t="s">
        <v>178</v>
      </c>
      <c r="D1129" s="1" t="s">
        <v>141</v>
      </c>
      <c r="E1129" s="1">
        <v>2</v>
      </c>
      <c r="F1129" s="1" t="s">
        <v>145</v>
      </c>
      <c r="G1129" s="1">
        <v>41</v>
      </c>
      <c r="H1129" s="1">
        <v>0.7</v>
      </c>
    </row>
    <row r="1130" spans="1:8">
      <c r="A1130" s="1" t="s">
        <v>69</v>
      </c>
      <c r="B1130" s="4">
        <v>40723</v>
      </c>
      <c r="C1130" s="1" t="s">
        <v>178</v>
      </c>
      <c r="D1130" s="1" t="s">
        <v>141</v>
      </c>
      <c r="E1130" s="1">
        <v>2</v>
      </c>
      <c r="F1130" s="1" t="s">
        <v>145</v>
      </c>
      <c r="G1130" s="1">
        <v>95</v>
      </c>
      <c r="H1130" s="1">
        <v>7.8</v>
      </c>
    </row>
    <row r="1131" spans="1:8">
      <c r="A1131" s="1" t="s">
        <v>69</v>
      </c>
      <c r="B1131" s="4">
        <v>40723</v>
      </c>
      <c r="C1131" s="1" t="s">
        <v>178</v>
      </c>
      <c r="D1131" s="1" t="s">
        <v>141</v>
      </c>
      <c r="E1131" s="1">
        <v>2</v>
      </c>
      <c r="F1131" s="1" t="s">
        <v>145</v>
      </c>
      <c r="G1131" s="1">
        <v>60</v>
      </c>
      <c r="H1131" s="1">
        <v>2.5</v>
      </c>
    </row>
    <row r="1132" spans="1:8">
      <c r="A1132" s="1" t="s">
        <v>69</v>
      </c>
      <c r="B1132" s="4">
        <v>40723</v>
      </c>
      <c r="C1132" s="1" t="s">
        <v>178</v>
      </c>
      <c r="D1132" s="1" t="s">
        <v>141</v>
      </c>
      <c r="E1132" s="1">
        <v>2</v>
      </c>
      <c r="F1132" s="1" t="s">
        <v>145</v>
      </c>
      <c r="G1132" s="1">
        <v>42</v>
      </c>
      <c r="H1132" s="1">
        <v>1</v>
      </c>
    </row>
    <row r="1133" spans="1:8">
      <c r="A1133" s="1" t="s">
        <v>69</v>
      </c>
      <c r="B1133" s="4">
        <v>40723</v>
      </c>
      <c r="C1133" s="1" t="s">
        <v>178</v>
      </c>
      <c r="D1133" s="1" t="s">
        <v>141</v>
      </c>
      <c r="E1133" s="1">
        <v>3</v>
      </c>
      <c r="F1133" s="1" t="s">
        <v>145</v>
      </c>
      <c r="G1133" s="1">
        <v>54</v>
      </c>
      <c r="H1133" s="1">
        <v>1.5</v>
      </c>
    </row>
    <row r="1134" spans="1:8">
      <c r="A1134" s="1" t="s">
        <v>69</v>
      </c>
      <c r="B1134" s="4">
        <v>40723</v>
      </c>
      <c r="C1134" s="1" t="s">
        <v>178</v>
      </c>
      <c r="D1134" s="1" t="s">
        <v>141</v>
      </c>
      <c r="E1134" s="1">
        <v>3</v>
      </c>
      <c r="F1134" s="1" t="s">
        <v>145</v>
      </c>
      <c r="G1134" s="1">
        <v>50</v>
      </c>
      <c r="H1134" s="1">
        <v>1.3</v>
      </c>
    </row>
    <row r="1135" spans="1:8">
      <c r="A1135" s="1" t="s">
        <v>69</v>
      </c>
      <c r="B1135" s="4">
        <v>40723</v>
      </c>
      <c r="C1135" s="1" t="s">
        <v>178</v>
      </c>
      <c r="D1135" s="1" t="s">
        <v>141</v>
      </c>
      <c r="E1135" s="1">
        <v>3</v>
      </c>
      <c r="F1135" s="1" t="s">
        <v>145</v>
      </c>
      <c r="G1135" s="1">
        <v>47</v>
      </c>
      <c r="H1135" s="1">
        <v>1</v>
      </c>
    </row>
    <row r="1136" spans="1:8">
      <c r="A1136" s="1" t="s">
        <v>69</v>
      </c>
      <c r="B1136" s="4">
        <v>40723</v>
      </c>
      <c r="C1136" s="1" t="s">
        <v>178</v>
      </c>
      <c r="D1136" s="1" t="s">
        <v>141</v>
      </c>
      <c r="E1136" s="1">
        <v>3</v>
      </c>
      <c r="F1136" s="1" t="s">
        <v>145</v>
      </c>
      <c r="G1136" s="1">
        <v>47</v>
      </c>
      <c r="H1136" s="1">
        <v>1.2</v>
      </c>
    </row>
    <row r="1137" spans="1:8">
      <c r="A1137" s="1" t="s">
        <v>69</v>
      </c>
      <c r="B1137" s="4">
        <v>40723</v>
      </c>
      <c r="C1137" s="1" t="s">
        <v>178</v>
      </c>
      <c r="D1137" s="1" t="s">
        <v>141</v>
      </c>
      <c r="E1137" s="1">
        <v>3</v>
      </c>
      <c r="F1137" s="1" t="s">
        <v>145</v>
      </c>
      <c r="G1137" s="1">
        <v>55</v>
      </c>
      <c r="H1137" s="1">
        <v>1.8</v>
      </c>
    </row>
    <row r="1138" spans="1:8">
      <c r="A1138" s="1" t="s">
        <v>69</v>
      </c>
      <c r="B1138" s="4">
        <v>40723</v>
      </c>
      <c r="C1138" s="1" t="s">
        <v>178</v>
      </c>
      <c r="D1138" s="1" t="s">
        <v>141</v>
      </c>
      <c r="E1138" s="1">
        <v>3</v>
      </c>
      <c r="F1138" s="1" t="s">
        <v>145</v>
      </c>
      <c r="G1138" s="1">
        <v>45</v>
      </c>
      <c r="H1138" s="1">
        <v>1.1000000000000001</v>
      </c>
    </row>
    <row r="1139" spans="1:8">
      <c r="A1139" s="1" t="s">
        <v>69</v>
      </c>
      <c r="B1139" s="4">
        <v>40723</v>
      </c>
      <c r="C1139" s="1" t="s">
        <v>178</v>
      </c>
      <c r="D1139" s="1" t="s">
        <v>141</v>
      </c>
      <c r="E1139" s="1">
        <v>3</v>
      </c>
      <c r="F1139" s="1" t="s">
        <v>145</v>
      </c>
      <c r="G1139" s="1">
        <v>45</v>
      </c>
      <c r="H1139" s="1">
        <v>1</v>
      </c>
    </row>
    <row r="1140" spans="1:8">
      <c r="A1140" s="1" t="s">
        <v>69</v>
      </c>
      <c r="B1140" s="4">
        <v>40723</v>
      </c>
      <c r="C1140" s="1" t="s">
        <v>178</v>
      </c>
      <c r="D1140" s="1" t="s">
        <v>141</v>
      </c>
      <c r="E1140" s="1">
        <v>3</v>
      </c>
      <c r="F1140" s="1" t="s">
        <v>145</v>
      </c>
      <c r="G1140" s="1">
        <v>47</v>
      </c>
      <c r="H1140" s="1">
        <v>0.9</v>
      </c>
    </row>
    <row r="1141" spans="1:8">
      <c r="A1141" s="1" t="s">
        <v>69</v>
      </c>
      <c r="B1141" s="4">
        <v>40723</v>
      </c>
      <c r="C1141" s="1" t="s">
        <v>178</v>
      </c>
      <c r="D1141" s="1" t="s">
        <v>141</v>
      </c>
      <c r="E1141" s="1">
        <v>3</v>
      </c>
      <c r="F1141" s="1" t="s">
        <v>145</v>
      </c>
      <c r="G1141" s="1">
        <v>46</v>
      </c>
      <c r="H1141" s="1">
        <v>1.2</v>
      </c>
    </row>
    <row r="1142" spans="1:8">
      <c r="A1142" s="1" t="s">
        <v>69</v>
      </c>
      <c r="B1142" s="4">
        <v>40723</v>
      </c>
      <c r="C1142" s="1" t="s">
        <v>178</v>
      </c>
      <c r="D1142" s="1" t="s">
        <v>141</v>
      </c>
      <c r="E1142" s="1">
        <v>3</v>
      </c>
      <c r="F1142" s="1" t="s">
        <v>145</v>
      </c>
      <c r="G1142" s="1">
        <v>85</v>
      </c>
      <c r="H1142" s="1">
        <v>5.8</v>
      </c>
    </row>
    <row r="1143" spans="1:8">
      <c r="A1143" s="1" t="s">
        <v>69</v>
      </c>
      <c r="B1143" s="4">
        <v>40723</v>
      </c>
      <c r="C1143" s="1" t="s">
        <v>178</v>
      </c>
      <c r="D1143" s="1" t="s">
        <v>141</v>
      </c>
      <c r="E1143" s="1">
        <v>3</v>
      </c>
      <c r="F1143" s="1" t="s">
        <v>145</v>
      </c>
      <c r="G1143" s="1">
        <v>26</v>
      </c>
    </row>
    <row r="1144" spans="1:8">
      <c r="A1144" s="1" t="s">
        <v>69</v>
      </c>
      <c r="B1144" s="4">
        <v>40723</v>
      </c>
      <c r="C1144" s="1" t="s">
        <v>178</v>
      </c>
      <c r="D1144" s="1" t="s">
        <v>141</v>
      </c>
      <c r="E1144" s="1">
        <v>3</v>
      </c>
      <c r="F1144" s="1" t="s">
        <v>145</v>
      </c>
      <c r="G1144" s="1">
        <v>49</v>
      </c>
      <c r="H1144" s="1">
        <v>1.3</v>
      </c>
    </row>
    <row r="1145" spans="1:8">
      <c r="A1145" s="1" t="s">
        <v>69</v>
      </c>
      <c r="B1145" s="4">
        <v>40723</v>
      </c>
      <c r="C1145" s="1" t="s">
        <v>178</v>
      </c>
      <c r="D1145" s="1" t="s">
        <v>141</v>
      </c>
      <c r="E1145" s="1">
        <v>3</v>
      </c>
      <c r="F1145" s="1" t="s">
        <v>145</v>
      </c>
      <c r="G1145" s="1">
        <v>50</v>
      </c>
      <c r="H1145" s="1">
        <v>1.5</v>
      </c>
    </row>
    <row r="1146" spans="1:8">
      <c r="A1146" s="1" t="s">
        <v>69</v>
      </c>
      <c r="B1146" s="4">
        <v>40723</v>
      </c>
      <c r="C1146" s="1" t="s">
        <v>178</v>
      </c>
      <c r="D1146" s="1" t="s">
        <v>141</v>
      </c>
      <c r="E1146" s="1">
        <v>3</v>
      </c>
      <c r="F1146" s="1" t="s">
        <v>145</v>
      </c>
      <c r="G1146" s="1">
        <v>50</v>
      </c>
      <c r="H1146" s="1">
        <v>1.3</v>
      </c>
    </row>
    <row r="1147" spans="1:8">
      <c r="A1147" s="1" t="s">
        <v>69</v>
      </c>
      <c r="B1147" s="4">
        <v>40723</v>
      </c>
      <c r="C1147" s="1" t="s">
        <v>178</v>
      </c>
      <c r="D1147" s="1" t="s">
        <v>141</v>
      </c>
      <c r="E1147" s="1">
        <v>3</v>
      </c>
      <c r="F1147" s="1" t="s">
        <v>145</v>
      </c>
      <c r="G1147" s="1">
        <v>55</v>
      </c>
      <c r="H1147" s="1">
        <v>1.8</v>
      </c>
    </row>
    <row r="1148" spans="1:8">
      <c r="A1148" s="1" t="s">
        <v>69</v>
      </c>
      <c r="B1148" s="4">
        <v>40723</v>
      </c>
      <c r="C1148" s="1" t="s">
        <v>178</v>
      </c>
      <c r="D1148" s="1" t="s">
        <v>141</v>
      </c>
      <c r="E1148" s="1">
        <v>3</v>
      </c>
      <c r="F1148" s="1" t="s">
        <v>145</v>
      </c>
      <c r="G1148" s="1">
        <v>44</v>
      </c>
      <c r="H1148" s="1">
        <v>0.9</v>
      </c>
    </row>
    <row r="1149" spans="1:8">
      <c r="A1149" s="1" t="s">
        <v>69</v>
      </c>
      <c r="B1149" s="4">
        <v>40723</v>
      </c>
      <c r="C1149" s="1" t="s">
        <v>178</v>
      </c>
      <c r="D1149" s="1" t="s">
        <v>141</v>
      </c>
      <c r="E1149" s="1">
        <v>3</v>
      </c>
      <c r="F1149" s="1" t="s">
        <v>145</v>
      </c>
      <c r="G1149" s="1">
        <v>51</v>
      </c>
      <c r="H1149" s="1">
        <v>1.3</v>
      </c>
    </row>
    <row r="1150" spans="1:8">
      <c r="A1150" s="1" t="s">
        <v>69</v>
      </c>
      <c r="B1150" s="4">
        <v>40723</v>
      </c>
      <c r="C1150" s="1" t="s">
        <v>178</v>
      </c>
      <c r="D1150" s="1" t="s">
        <v>141</v>
      </c>
      <c r="E1150" s="1">
        <v>3</v>
      </c>
      <c r="F1150" s="1" t="s">
        <v>145</v>
      </c>
      <c r="G1150" s="1">
        <v>50</v>
      </c>
      <c r="H1150" s="1">
        <v>1.2</v>
      </c>
    </row>
    <row r="1151" spans="1:8">
      <c r="A1151" s="1" t="s">
        <v>69</v>
      </c>
      <c r="B1151" s="4">
        <v>40723</v>
      </c>
      <c r="C1151" s="1" t="s">
        <v>178</v>
      </c>
      <c r="D1151" s="1" t="s">
        <v>141</v>
      </c>
      <c r="E1151" s="1">
        <v>3</v>
      </c>
      <c r="F1151" s="1" t="s">
        <v>145</v>
      </c>
      <c r="G1151" s="1">
        <v>45</v>
      </c>
      <c r="H1151" s="1">
        <v>0.9</v>
      </c>
    </row>
    <row r="1152" spans="1:8">
      <c r="A1152" s="1" t="s">
        <v>69</v>
      </c>
      <c r="B1152" s="4">
        <v>40723</v>
      </c>
      <c r="C1152" s="1" t="s">
        <v>178</v>
      </c>
      <c r="D1152" s="1" t="s">
        <v>147</v>
      </c>
      <c r="E1152" s="1">
        <v>1</v>
      </c>
      <c r="F1152" s="1" t="s">
        <v>145</v>
      </c>
      <c r="G1152" s="1">
        <v>56</v>
      </c>
      <c r="H1152" s="1">
        <v>1.5</v>
      </c>
    </row>
    <row r="1153" spans="1:8">
      <c r="A1153" s="1" t="s">
        <v>69</v>
      </c>
      <c r="B1153" s="4">
        <v>40723</v>
      </c>
      <c r="C1153" s="1" t="s">
        <v>178</v>
      </c>
      <c r="D1153" s="1" t="s">
        <v>147</v>
      </c>
      <c r="E1153" s="1">
        <v>1</v>
      </c>
      <c r="F1153" s="1" t="s">
        <v>145</v>
      </c>
      <c r="G1153" s="1">
        <v>90</v>
      </c>
      <c r="H1153" s="1">
        <v>7.4</v>
      </c>
    </row>
    <row r="1154" spans="1:8">
      <c r="A1154" s="1" t="s">
        <v>69</v>
      </c>
      <c r="B1154" s="4">
        <v>40723</v>
      </c>
      <c r="C1154" s="1" t="s">
        <v>178</v>
      </c>
      <c r="D1154" s="1" t="s">
        <v>147</v>
      </c>
      <c r="E1154" s="1">
        <v>1</v>
      </c>
      <c r="F1154" s="1" t="s">
        <v>145</v>
      </c>
      <c r="G1154" s="1">
        <v>104</v>
      </c>
      <c r="H1154" s="1" t="s">
        <v>175</v>
      </c>
    </row>
    <row r="1155" spans="1:8">
      <c r="A1155" s="1" t="s">
        <v>69</v>
      </c>
      <c r="B1155" s="4">
        <v>40723</v>
      </c>
      <c r="C1155" s="1" t="s">
        <v>178</v>
      </c>
      <c r="D1155" s="1" t="s">
        <v>147</v>
      </c>
      <c r="E1155" s="1">
        <v>1</v>
      </c>
      <c r="F1155" s="1" t="s">
        <v>145</v>
      </c>
      <c r="G1155" s="1">
        <v>60</v>
      </c>
      <c r="H1155" s="1">
        <v>2</v>
      </c>
    </row>
    <row r="1156" spans="1:8">
      <c r="A1156" s="1" t="s">
        <v>69</v>
      </c>
      <c r="B1156" s="4">
        <v>40723</v>
      </c>
      <c r="C1156" s="1" t="s">
        <v>178</v>
      </c>
      <c r="D1156" s="1" t="s">
        <v>147</v>
      </c>
      <c r="E1156" s="1">
        <v>1</v>
      </c>
      <c r="F1156" s="1" t="s">
        <v>145</v>
      </c>
      <c r="G1156" s="1">
        <v>55</v>
      </c>
      <c r="H1156" s="1">
        <v>1.3</v>
      </c>
    </row>
    <row r="1157" spans="1:8">
      <c r="A1157" s="1" t="s">
        <v>69</v>
      </c>
      <c r="B1157" s="4">
        <v>40723</v>
      </c>
      <c r="C1157" s="1" t="s">
        <v>178</v>
      </c>
      <c r="D1157" s="1" t="s">
        <v>147</v>
      </c>
      <c r="E1157" s="1">
        <v>1</v>
      </c>
      <c r="F1157" s="1" t="s">
        <v>145</v>
      </c>
      <c r="G1157" s="1">
        <v>45</v>
      </c>
      <c r="H1157" s="1">
        <v>0.6</v>
      </c>
    </row>
    <row r="1158" spans="1:8">
      <c r="A1158" s="1" t="s">
        <v>69</v>
      </c>
      <c r="B1158" s="4">
        <v>40723</v>
      </c>
      <c r="C1158" s="1" t="s">
        <v>178</v>
      </c>
      <c r="D1158" s="1" t="s">
        <v>147</v>
      </c>
      <c r="E1158" s="1">
        <v>1</v>
      </c>
      <c r="F1158" s="1" t="s">
        <v>145</v>
      </c>
      <c r="G1158" s="1">
        <v>50</v>
      </c>
      <c r="H1158" s="1">
        <v>1.4</v>
      </c>
    </row>
    <row r="1159" spans="1:8">
      <c r="A1159" s="1" t="s">
        <v>69</v>
      </c>
      <c r="B1159" s="4">
        <v>40723</v>
      </c>
      <c r="C1159" s="1" t="s">
        <v>178</v>
      </c>
      <c r="D1159" s="1" t="s">
        <v>147</v>
      </c>
      <c r="E1159" s="1">
        <v>1</v>
      </c>
      <c r="F1159" s="1" t="s">
        <v>145</v>
      </c>
      <c r="G1159" s="1">
        <v>56</v>
      </c>
      <c r="H1159" s="1">
        <v>1.7</v>
      </c>
    </row>
    <row r="1160" spans="1:8">
      <c r="A1160" s="1" t="s">
        <v>69</v>
      </c>
      <c r="B1160" s="4">
        <v>40723</v>
      </c>
      <c r="C1160" s="1" t="s">
        <v>178</v>
      </c>
      <c r="D1160" s="1" t="s">
        <v>147</v>
      </c>
      <c r="E1160" s="1">
        <v>1</v>
      </c>
      <c r="F1160" s="1" t="s">
        <v>145</v>
      </c>
      <c r="G1160" s="1">
        <v>90</v>
      </c>
      <c r="H1160" s="1">
        <v>5.4</v>
      </c>
    </row>
    <row r="1161" spans="1:8">
      <c r="A1161" s="1" t="s">
        <v>69</v>
      </c>
      <c r="B1161" s="4">
        <v>40723</v>
      </c>
      <c r="C1161" s="1" t="s">
        <v>178</v>
      </c>
      <c r="D1161" s="1" t="s">
        <v>147</v>
      </c>
      <c r="E1161" s="1">
        <v>1</v>
      </c>
      <c r="F1161" s="1" t="s">
        <v>145</v>
      </c>
      <c r="G1161" s="1">
        <v>95</v>
      </c>
    </row>
    <row r="1162" spans="1:8">
      <c r="A1162" s="1" t="s">
        <v>69</v>
      </c>
      <c r="B1162" s="4">
        <v>40723</v>
      </c>
      <c r="C1162" s="1" t="s">
        <v>178</v>
      </c>
      <c r="D1162" s="1" t="s">
        <v>147</v>
      </c>
      <c r="E1162" s="1">
        <v>1</v>
      </c>
      <c r="F1162" s="1" t="s">
        <v>145</v>
      </c>
      <c r="G1162" s="1">
        <v>60</v>
      </c>
      <c r="H1162" s="1">
        <v>1.8</v>
      </c>
    </row>
    <row r="1163" spans="1:8">
      <c r="A1163" s="1" t="s">
        <v>69</v>
      </c>
      <c r="B1163" s="4">
        <v>40723</v>
      </c>
      <c r="C1163" s="1" t="s">
        <v>178</v>
      </c>
      <c r="D1163" s="1" t="s">
        <v>147</v>
      </c>
      <c r="E1163" s="1">
        <v>1</v>
      </c>
      <c r="F1163" s="1" t="s">
        <v>145</v>
      </c>
      <c r="G1163" s="1">
        <v>57</v>
      </c>
      <c r="H1163" s="1">
        <v>2</v>
      </c>
    </row>
    <row r="1164" spans="1:8">
      <c r="A1164" s="1" t="s">
        <v>69</v>
      </c>
      <c r="B1164" s="4">
        <v>40723</v>
      </c>
      <c r="C1164" s="1" t="s">
        <v>178</v>
      </c>
      <c r="D1164" s="1" t="s">
        <v>147</v>
      </c>
      <c r="E1164" s="1">
        <v>1</v>
      </c>
      <c r="F1164" s="1" t="s">
        <v>145</v>
      </c>
      <c r="G1164" s="1">
        <v>50</v>
      </c>
      <c r="H1164" s="1">
        <v>1</v>
      </c>
    </row>
    <row r="1165" spans="1:8">
      <c r="A1165" s="1" t="s">
        <v>69</v>
      </c>
      <c r="B1165" s="4">
        <v>40723</v>
      </c>
      <c r="C1165" s="1" t="s">
        <v>178</v>
      </c>
      <c r="D1165" s="1" t="s">
        <v>147</v>
      </c>
      <c r="E1165" s="1">
        <v>1</v>
      </c>
      <c r="F1165" s="1" t="s">
        <v>145</v>
      </c>
      <c r="G1165" s="1">
        <v>40</v>
      </c>
    </row>
    <row r="1166" spans="1:8">
      <c r="A1166" s="1" t="s">
        <v>69</v>
      </c>
      <c r="B1166" s="4">
        <v>40723</v>
      </c>
      <c r="C1166" s="1" t="s">
        <v>178</v>
      </c>
      <c r="D1166" s="1" t="s">
        <v>147</v>
      </c>
      <c r="E1166" s="1">
        <v>1</v>
      </c>
      <c r="F1166" s="1" t="s">
        <v>145</v>
      </c>
      <c r="G1166" s="1">
        <v>55</v>
      </c>
      <c r="H1166" s="1">
        <v>1.5</v>
      </c>
    </row>
    <row r="1167" spans="1:8">
      <c r="A1167" s="1" t="s">
        <v>69</v>
      </c>
      <c r="B1167" s="4">
        <v>40723</v>
      </c>
      <c r="C1167" s="1" t="s">
        <v>178</v>
      </c>
      <c r="D1167" s="1" t="s">
        <v>147</v>
      </c>
      <c r="E1167" s="1">
        <v>1</v>
      </c>
      <c r="F1167" s="1" t="s">
        <v>145</v>
      </c>
      <c r="G1167" s="1">
        <v>54</v>
      </c>
      <c r="H1167" s="1">
        <v>1.5</v>
      </c>
    </row>
    <row r="1168" spans="1:8">
      <c r="A1168" s="1" t="s">
        <v>69</v>
      </c>
      <c r="B1168" s="4">
        <v>40723</v>
      </c>
      <c r="C1168" s="1" t="s">
        <v>178</v>
      </c>
      <c r="D1168" s="1" t="s">
        <v>147</v>
      </c>
      <c r="E1168" s="1">
        <v>1</v>
      </c>
      <c r="F1168" s="1" t="s">
        <v>145</v>
      </c>
      <c r="G1168" s="1">
        <v>42</v>
      </c>
      <c r="H1168" s="1">
        <v>0.5</v>
      </c>
    </row>
    <row r="1169" spans="1:8">
      <c r="A1169" s="1" t="s">
        <v>69</v>
      </c>
      <c r="B1169" s="4">
        <v>40723</v>
      </c>
      <c r="C1169" s="1" t="s">
        <v>178</v>
      </c>
      <c r="D1169" s="1" t="s">
        <v>147</v>
      </c>
      <c r="E1169" s="1">
        <v>1</v>
      </c>
      <c r="F1169" s="1" t="s">
        <v>145</v>
      </c>
      <c r="G1169" s="1">
        <v>101</v>
      </c>
      <c r="H1169" s="1">
        <v>8</v>
      </c>
    </row>
    <row r="1170" spans="1:8">
      <c r="A1170" s="1" t="s">
        <v>69</v>
      </c>
      <c r="B1170" s="4">
        <v>40723</v>
      </c>
      <c r="C1170" s="1" t="s">
        <v>178</v>
      </c>
      <c r="D1170" s="1" t="s">
        <v>147</v>
      </c>
      <c r="E1170" s="1">
        <v>1</v>
      </c>
      <c r="F1170" s="1" t="s">
        <v>145</v>
      </c>
      <c r="G1170" s="1">
        <v>60</v>
      </c>
      <c r="H1170" s="1">
        <v>2.8</v>
      </c>
    </row>
    <row r="1171" spans="1:8">
      <c r="A1171" s="1" t="s">
        <v>69</v>
      </c>
      <c r="B1171" s="4">
        <v>40723</v>
      </c>
      <c r="C1171" s="1" t="s">
        <v>178</v>
      </c>
      <c r="D1171" s="1" t="s">
        <v>147</v>
      </c>
      <c r="E1171" s="1">
        <v>1</v>
      </c>
      <c r="F1171" s="1" t="s">
        <v>145</v>
      </c>
      <c r="G1171" s="1">
        <v>57</v>
      </c>
      <c r="H1171" s="1">
        <v>2</v>
      </c>
    </row>
    <row r="1172" spans="1:8">
      <c r="A1172" s="1" t="s">
        <v>69</v>
      </c>
      <c r="B1172" s="4">
        <v>40723</v>
      </c>
      <c r="C1172" s="1" t="s">
        <v>178</v>
      </c>
      <c r="D1172" s="1" t="s">
        <v>147</v>
      </c>
      <c r="E1172" s="1">
        <v>1</v>
      </c>
      <c r="F1172" s="1" t="s">
        <v>179</v>
      </c>
      <c r="G1172" s="1">
        <v>100</v>
      </c>
      <c r="H1172" s="1">
        <v>8.8000000000000007</v>
      </c>
    </row>
    <row r="1173" spans="1:8">
      <c r="A1173" s="1" t="s">
        <v>69</v>
      </c>
      <c r="B1173" s="4">
        <v>40723</v>
      </c>
      <c r="C1173" s="1" t="s">
        <v>178</v>
      </c>
      <c r="D1173" s="1" t="s">
        <v>147</v>
      </c>
      <c r="E1173" s="1">
        <v>2</v>
      </c>
      <c r="F1173" s="1" t="s">
        <v>148</v>
      </c>
      <c r="G1173" s="1">
        <v>73</v>
      </c>
      <c r="H1173" s="1">
        <v>4.5999999999999996</v>
      </c>
    </row>
    <row r="1174" spans="1:8">
      <c r="A1174" s="1" t="s">
        <v>69</v>
      </c>
      <c r="B1174" s="4">
        <v>40723</v>
      </c>
      <c r="C1174" s="1" t="s">
        <v>178</v>
      </c>
      <c r="D1174" s="1" t="s">
        <v>147</v>
      </c>
      <c r="E1174" s="1">
        <v>2</v>
      </c>
      <c r="F1174" s="1" t="s">
        <v>148</v>
      </c>
      <c r="G1174" s="1">
        <v>70</v>
      </c>
      <c r="H1174" s="1">
        <v>4.5</v>
      </c>
    </row>
    <row r="1175" spans="1:8">
      <c r="A1175" s="1" t="s">
        <v>69</v>
      </c>
      <c r="B1175" s="4">
        <v>40723</v>
      </c>
      <c r="C1175" s="1" t="s">
        <v>178</v>
      </c>
      <c r="D1175" s="1" t="s">
        <v>147</v>
      </c>
      <c r="E1175" s="1">
        <v>2</v>
      </c>
      <c r="F1175" s="1" t="s">
        <v>148</v>
      </c>
      <c r="G1175" s="1">
        <v>74</v>
      </c>
      <c r="H1175" s="1">
        <v>4</v>
      </c>
    </row>
    <row r="1176" spans="1:8">
      <c r="A1176" s="1" t="s">
        <v>69</v>
      </c>
      <c r="B1176" s="4">
        <v>40723</v>
      </c>
      <c r="C1176" s="1" t="s">
        <v>178</v>
      </c>
      <c r="D1176" s="1" t="s">
        <v>147</v>
      </c>
      <c r="E1176" s="1">
        <v>2</v>
      </c>
      <c r="F1176" s="1" t="s">
        <v>145</v>
      </c>
      <c r="G1176" s="1">
        <v>55</v>
      </c>
      <c r="H1176" s="1">
        <v>1.2</v>
      </c>
    </row>
    <row r="1177" spans="1:8">
      <c r="A1177" s="1" t="s">
        <v>69</v>
      </c>
      <c r="B1177" s="4">
        <v>40723</v>
      </c>
      <c r="C1177" s="1" t="s">
        <v>178</v>
      </c>
      <c r="D1177" s="1" t="s">
        <v>147</v>
      </c>
      <c r="E1177" s="1">
        <v>2</v>
      </c>
      <c r="F1177" s="1" t="s">
        <v>145</v>
      </c>
      <c r="G1177" s="1">
        <v>45</v>
      </c>
    </row>
    <row r="1178" spans="1:8">
      <c r="A1178" s="1" t="s">
        <v>69</v>
      </c>
      <c r="B1178" s="4">
        <v>40723</v>
      </c>
      <c r="C1178" s="1" t="s">
        <v>178</v>
      </c>
      <c r="D1178" s="1" t="s">
        <v>147</v>
      </c>
      <c r="E1178" s="1">
        <v>2</v>
      </c>
      <c r="F1178" s="1" t="s">
        <v>145</v>
      </c>
      <c r="G1178" s="1">
        <v>54</v>
      </c>
      <c r="H1178" s="1">
        <v>1.5</v>
      </c>
    </row>
    <row r="1179" spans="1:8">
      <c r="A1179" s="1" t="s">
        <v>69</v>
      </c>
      <c r="B1179" s="4">
        <v>40723</v>
      </c>
      <c r="C1179" s="1" t="s">
        <v>178</v>
      </c>
      <c r="D1179" s="1" t="s">
        <v>147</v>
      </c>
      <c r="E1179" s="1">
        <v>2</v>
      </c>
      <c r="F1179" s="1" t="s">
        <v>145</v>
      </c>
      <c r="G1179" s="1">
        <v>54</v>
      </c>
      <c r="H1179" s="1">
        <v>1.1000000000000001</v>
      </c>
    </row>
    <row r="1180" spans="1:8">
      <c r="A1180" s="1" t="s">
        <v>69</v>
      </c>
      <c r="B1180" s="4">
        <v>40723</v>
      </c>
      <c r="C1180" s="1" t="s">
        <v>178</v>
      </c>
      <c r="D1180" s="1" t="s">
        <v>147</v>
      </c>
      <c r="E1180" s="1">
        <v>2</v>
      </c>
      <c r="F1180" s="1" t="s">
        <v>145</v>
      </c>
      <c r="G1180" s="1">
        <v>40</v>
      </c>
    </row>
    <row r="1181" spans="1:8">
      <c r="A1181" s="1" t="s">
        <v>69</v>
      </c>
      <c r="B1181" s="4">
        <v>40723</v>
      </c>
      <c r="C1181" s="1" t="s">
        <v>178</v>
      </c>
      <c r="D1181" s="1" t="s">
        <v>147</v>
      </c>
      <c r="E1181" s="1">
        <v>2</v>
      </c>
      <c r="F1181" s="1" t="s">
        <v>145</v>
      </c>
      <c r="G1181" s="1">
        <v>23</v>
      </c>
    </row>
    <row r="1182" spans="1:8">
      <c r="A1182" s="1" t="s">
        <v>69</v>
      </c>
      <c r="B1182" s="4">
        <v>40723</v>
      </c>
      <c r="C1182" s="1" t="s">
        <v>178</v>
      </c>
      <c r="D1182" s="1" t="s">
        <v>147</v>
      </c>
      <c r="E1182" s="1">
        <v>2</v>
      </c>
      <c r="F1182" s="1" t="s">
        <v>145</v>
      </c>
      <c r="G1182" s="1">
        <v>29</v>
      </c>
    </row>
    <row r="1183" spans="1:8">
      <c r="A1183" s="1" t="s">
        <v>69</v>
      </c>
      <c r="B1183" s="4">
        <v>40723</v>
      </c>
      <c r="C1183" s="1" t="s">
        <v>178</v>
      </c>
      <c r="D1183" s="1" t="s">
        <v>147</v>
      </c>
      <c r="E1183" s="1">
        <v>2</v>
      </c>
      <c r="F1183" s="1" t="s">
        <v>145</v>
      </c>
      <c r="G1183" s="1">
        <v>22</v>
      </c>
    </row>
    <row r="1184" spans="1:8">
      <c r="A1184" s="1" t="s">
        <v>69</v>
      </c>
      <c r="B1184" s="4">
        <v>40723</v>
      </c>
      <c r="C1184" s="1" t="s">
        <v>178</v>
      </c>
      <c r="D1184" s="1" t="s">
        <v>147</v>
      </c>
      <c r="E1184" s="1">
        <v>2</v>
      </c>
      <c r="F1184" s="1" t="s">
        <v>145</v>
      </c>
      <c r="G1184" s="1">
        <v>50</v>
      </c>
      <c r="H1184" s="1">
        <v>1.3</v>
      </c>
    </row>
    <row r="1185" spans="1:8">
      <c r="A1185" s="1" t="s">
        <v>69</v>
      </c>
      <c r="B1185" s="4">
        <v>40723</v>
      </c>
      <c r="C1185" s="1" t="s">
        <v>178</v>
      </c>
      <c r="D1185" s="1" t="s">
        <v>147</v>
      </c>
      <c r="E1185" s="1">
        <v>2</v>
      </c>
      <c r="F1185" s="1" t="s">
        <v>145</v>
      </c>
      <c r="G1185" s="1">
        <v>49</v>
      </c>
    </row>
    <row r="1186" spans="1:8">
      <c r="A1186" s="1" t="s">
        <v>69</v>
      </c>
      <c r="B1186" s="4">
        <v>40723</v>
      </c>
      <c r="C1186" s="1" t="s">
        <v>178</v>
      </c>
      <c r="D1186" s="1" t="s">
        <v>147</v>
      </c>
      <c r="E1186" s="1">
        <v>2</v>
      </c>
      <c r="F1186" s="1" t="s">
        <v>145</v>
      </c>
      <c r="G1186" s="1">
        <v>53</v>
      </c>
      <c r="H1186" s="1">
        <v>1.3</v>
      </c>
    </row>
    <row r="1187" spans="1:8">
      <c r="A1187" s="1" t="s">
        <v>69</v>
      </c>
      <c r="B1187" s="4">
        <v>40723</v>
      </c>
      <c r="C1187" s="1" t="s">
        <v>178</v>
      </c>
      <c r="D1187" s="1" t="s">
        <v>147</v>
      </c>
      <c r="E1187" s="1">
        <v>2</v>
      </c>
      <c r="F1187" s="1" t="s">
        <v>145</v>
      </c>
      <c r="G1187" s="1">
        <v>50</v>
      </c>
      <c r="H1187" s="1">
        <v>1.4</v>
      </c>
    </row>
    <row r="1188" spans="1:8">
      <c r="A1188" s="1" t="s">
        <v>69</v>
      </c>
      <c r="B1188" s="4">
        <v>40723</v>
      </c>
      <c r="C1188" s="1" t="s">
        <v>178</v>
      </c>
      <c r="D1188" s="1" t="s">
        <v>147</v>
      </c>
      <c r="E1188" s="1">
        <v>2</v>
      </c>
      <c r="F1188" s="1" t="s">
        <v>145</v>
      </c>
      <c r="G1188" s="1">
        <v>55</v>
      </c>
      <c r="H1188" s="1">
        <v>1.6</v>
      </c>
    </row>
    <row r="1189" spans="1:8">
      <c r="A1189" s="1" t="s">
        <v>69</v>
      </c>
      <c r="B1189" s="4">
        <v>40723</v>
      </c>
      <c r="C1189" s="1" t="s">
        <v>178</v>
      </c>
      <c r="D1189" s="1" t="s">
        <v>147</v>
      </c>
      <c r="E1189" s="1">
        <v>2</v>
      </c>
      <c r="F1189" s="1" t="s">
        <v>145</v>
      </c>
      <c r="G1189" s="1">
        <v>50</v>
      </c>
      <c r="H1189" s="1">
        <v>1.2</v>
      </c>
    </row>
    <row r="1190" spans="1:8">
      <c r="A1190" s="1" t="s">
        <v>69</v>
      </c>
      <c r="B1190" s="4">
        <v>40723</v>
      </c>
      <c r="C1190" s="1" t="s">
        <v>178</v>
      </c>
      <c r="D1190" s="1" t="s">
        <v>147</v>
      </c>
      <c r="E1190" s="1">
        <v>2</v>
      </c>
      <c r="F1190" s="1" t="s">
        <v>145</v>
      </c>
      <c r="G1190" s="1">
        <v>24</v>
      </c>
    </row>
    <row r="1191" spans="1:8">
      <c r="A1191" s="1" t="s">
        <v>69</v>
      </c>
      <c r="B1191" s="4">
        <v>40723</v>
      </c>
      <c r="C1191" s="1" t="s">
        <v>178</v>
      </c>
      <c r="D1191" s="1" t="s">
        <v>147</v>
      </c>
      <c r="E1191" s="1">
        <v>2</v>
      </c>
      <c r="F1191" s="1" t="s">
        <v>145</v>
      </c>
      <c r="G1191" s="1">
        <v>22</v>
      </c>
    </row>
    <row r="1192" spans="1:8">
      <c r="A1192" s="1" t="s">
        <v>69</v>
      </c>
      <c r="B1192" s="4">
        <v>40723</v>
      </c>
      <c r="C1192" s="1" t="s">
        <v>178</v>
      </c>
      <c r="D1192" s="1" t="s">
        <v>147</v>
      </c>
      <c r="E1192" s="1">
        <v>2</v>
      </c>
      <c r="F1192" s="1" t="s">
        <v>145</v>
      </c>
      <c r="G1192" s="1">
        <v>50</v>
      </c>
      <c r="H1192" s="1">
        <v>1.5</v>
      </c>
    </row>
    <row r="1193" spans="1:8">
      <c r="A1193" s="1" t="s">
        <v>69</v>
      </c>
      <c r="B1193" s="4">
        <v>40723</v>
      </c>
      <c r="C1193" s="1" t="s">
        <v>178</v>
      </c>
      <c r="D1193" s="1" t="s">
        <v>147</v>
      </c>
      <c r="E1193" s="1">
        <v>2</v>
      </c>
      <c r="F1193" s="1" t="s">
        <v>145</v>
      </c>
      <c r="G1193" s="1">
        <v>24</v>
      </c>
    </row>
    <row r="1194" spans="1:8">
      <c r="A1194" s="1" t="s">
        <v>69</v>
      </c>
      <c r="B1194" s="4">
        <v>40723</v>
      </c>
      <c r="C1194" s="1" t="s">
        <v>178</v>
      </c>
      <c r="D1194" s="1" t="s">
        <v>147</v>
      </c>
      <c r="E1194" s="1">
        <v>2</v>
      </c>
      <c r="F1194" s="1" t="s">
        <v>142</v>
      </c>
      <c r="G1194" s="1">
        <v>74</v>
      </c>
      <c r="H1194" s="1">
        <v>4</v>
      </c>
    </row>
    <row r="1195" spans="1:8">
      <c r="A1195" s="1" t="s">
        <v>69</v>
      </c>
      <c r="B1195" s="4">
        <v>40723</v>
      </c>
      <c r="C1195" s="1" t="s">
        <v>178</v>
      </c>
      <c r="D1195" s="1" t="s">
        <v>147</v>
      </c>
      <c r="E1195" s="1">
        <v>2</v>
      </c>
      <c r="F1195" s="1" t="s">
        <v>142</v>
      </c>
      <c r="G1195" s="1">
        <v>59</v>
      </c>
      <c r="H1195" s="1">
        <v>1.5</v>
      </c>
    </row>
    <row r="1196" spans="1:8">
      <c r="A1196" s="1" t="s">
        <v>69</v>
      </c>
      <c r="B1196" s="4">
        <v>40723</v>
      </c>
      <c r="C1196" s="1" t="s">
        <v>178</v>
      </c>
      <c r="D1196" s="1" t="s">
        <v>150</v>
      </c>
      <c r="E1196" s="1">
        <v>1</v>
      </c>
      <c r="F1196" s="1" t="s">
        <v>142</v>
      </c>
      <c r="G1196" s="1">
        <v>56</v>
      </c>
      <c r="H1196" s="1">
        <v>1.4</v>
      </c>
    </row>
    <row r="1197" spans="1:8">
      <c r="A1197" s="1" t="s">
        <v>69</v>
      </c>
      <c r="B1197" s="4">
        <v>40723</v>
      </c>
      <c r="C1197" s="1" t="s">
        <v>178</v>
      </c>
      <c r="D1197" s="1" t="s">
        <v>150</v>
      </c>
      <c r="E1197" s="1">
        <v>1</v>
      </c>
      <c r="F1197" s="1" t="s">
        <v>142</v>
      </c>
      <c r="G1197" s="1">
        <v>62</v>
      </c>
      <c r="H1197" s="1">
        <v>3</v>
      </c>
    </row>
    <row r="1198" spans="1:8">
      <c r="A1198" s="1" t="s">
        <v>69</v>
      </c>
      <c r="B1198" s="4">
        <v>40723</v>
      </c>
      <c r="C1198" s="1" t="s">
        <v>178</v>
      </c>
      <c r="D1198" s="1" t="s">
        <v>150</v>
      </c>
      <c r="E1198" s="1">
        <v>1</v>
      </c>
      <c r="F1198" s="1" t="s">
        <v>142</v>
      </c>
      <c r="G1198" s="1">
        <v>59</v>
      </c>
      <c r="H1198" s="1">
        <v>1.9</v>
      </c>
    </row>
    <row r="1199" spans="1:8">
      <c r="A1199" s="1" t="s">
        <v>69</v>
      </c>
      <c r="B1199" s="4">
        <v>40723</v>
      </c>
      <c r="C1199" s="1" t="s">
        <v>178</v>
      </c>
      <c r="D1199" s="1" t="s">
        <v>150</v>
      </c>
      <c r="E1199" s="1">
        <v>1</v>
      </c>
      <c r="F1199" s="1" t="s">
        <v>179</v>
      </c>
      <c r="G1199" s="1">
        <v>109</v>
      </c>
      <c r="H1199" s="1">
        <v>9.5</v>
      </c>
    </row>
    <row r="1200" spans="1:8">
      <c r="A1200" s="1" t="s">
        <v>69</v>
      </c>
      <c r="B1200" s="4">
        <v>40723</v>
      </c>
      <c r="C1200" s="1" t="s">
        <v>178</v>
      </c>
      <c r="D1200" s="1" t="s">
        <v>150</v>
      </c>
      <c r="E1200" s="1">
        <v>1</v>
      </c>
      <c r="F1200" s="1" t="s">
        <v>145</v>
      </c>
      <c r="G1200" s="1">
        <v>52</v>
      </c>
      <c r="H1200" s="1">
        <v>1.3</v>
      </c>
    </row>
    <row r="1201" spans="1:8">
      <c r="A1201" s="1" t="s">
        <v>69</v>
      </c>
      <c r="B1201" s="4">
        <v>40723</v>
      </c>
      <c r="C1201" s="1" t="s">
        <v>178</v>
      </c>
      <c r="D1201" s="1" t="s">
        <v>150</v>
      </c>
      <c r="E1201" s="1">
        <v>1</v>
      </c>
      <c r="F1201" s="1" t="s">
        <v>145</v>
      </c>
      <c r="G1201" s="1">
        <v>45</v>
      </c>
      <c r="H1201" s="1">
        <v>0.5</v>
      </c>
    </row>
    <row r="1202" spans="1:8">
      <c r="A1202" s="1" t="s">
        <v>69</v>
      </c>
      <c r="B1202" s="4">
        <v>40723</v>
      </c>
      <c r="C1202" s="1" t="s">
        <v>178</v>
      </c>
      <c r="D1202" s="1" t="s">
        <v>150</v>
      </c>
      <c r="E1202" s="1">
        <v>1</v>
      </c>
      <c r="F1202" s="1" t="s">
        <v>145</v>
      </c>
      <c r="G1202" s="1">
        <v>51</v>
      </c>
      <c r="H1202" s="1">
        <v>1.5</v>
      </c>
    </row>
    <row r="1203" spans="1:8">
      <c r="A1203" s="1" t="s">
        <v>69</v>
      </c>
      <c r="B1203" s="4">
        <v>40723</v>
      </c>
      <c r="C1203" s="1" t="s">
        <v>178</v>
      </c>
      <c r="D1203" s="1" t="s">
        <v>150</v>
      </c>
      <c r="E1203" s="1">
        <v>1</v>
      </c>
      <c r="F1203" s="1" t="s">
        <v>145</v>
      </c>
      <c r="G1203" s="1">
        <v>54</v>
      </c>
      <c r="H1203" s="1">
        <v>1.7</v>
      </c>
    </row>
    <row r="1204" spans="1:8">
      <c r="A1204" s="1" t="s">
        <v>69</v>
      </c>
      <c r="B1204" s="4">
        <v>40723</v>
      </c>
      <c r="C1204" s="1" t="s">
        <v>178</v>
      </c>
      <c r="D1204" s="1" t="s">
        <v>150</v>
      </c>
      <c r="E1204" s="1">
        <v>1</v>
      </c>
      <c r="F1204" s="1" t="s">
        <v>145</v>
      </c>
      <c r="G1204" s="1">
        <v>61</v>
      </c>
      <c r="H1204" s="1">
        <v>2</v>
      </c>
    </row>
    <row r="1205" spans="1:8">
      <c r="A1205" s="1" t="s">
        <v>69</v>
      </c>
      <c r="B1205" s="4">
        <v>40723</v>
      </c>
      <c r="C1205" s="1" t="s">
        <v>178</v>
      </c>
      <c r="D1205" s="1" t="s">
        <v>150</v>
      </c>
      <c r="E1205" s="1">
        <v>1</v>
      </c>
      <c r="F1205" s="1" t="s">
        <v>145</v>
      </c>
      <c r="G1205" s="1">
        <v>55</v>
      </c>
      <c r="H1205" s="1">
        <v>1.5</v>
      </c>
    </row>
    <row r="1206" spans="1:8">
      <c r="A1206" s="1" t="s">
        <v>69</v>
      </c>
      <c r="B1206" s="4">
        <v>40723</v>
      </c>
      <c r="C1206" s="1" t="s">
        <v>178</v>
      </c>
      <c r="D1206" s="1" t="s">
        <v>150</v>
      </c>
      <c r="E1206" s="1">
        <v>1</v>
      </c>
      <c r="F1206" s="1" t="s">
        <v>145</v>
      </c>
      <c r="G1206" s="1">
        <v>57</v>
      </c>
      <c r="H1206" s="1">
        <v>1.3</v>
      </c>
    </row>
    <row r="1207" spans="1:8">
      <c r="A1207" s="1" t="s">
        <v>69</v>
      </c>
      <c r="B1207" s="4">
        <v>40723</v>
      </c>
      <c r="C1207" s="1" t="s">
        <v>178</v>
      </c>
      <c r="D1207" s="1" t="s">
        <v>150</v>
      </c>
      <c r="E1207" s="1">
        <v>1</v>
      </c>
      <c r="F1207" s="1" t="s">
        <v>145</v>
      </c>
      <c r="G1207" s="1">
        <v>48</v>
      </c>
      <c r="H1207" s="1">
        <v>1</v>
      </c>
    </row>
    <row r="1208" spans="1:8">
      <c r="A1208" s="1" t="s">
        <v>69</v>
      </c>
      <c r="B1208" s="4">
        <v>40723</v>
      </c>
      <c r="C1208" s="1" t="s">
        <v>178</v>
      </c>
      <c r="D1208" s="1" t="s">
        <v>150</v>
      </c>
      <c r="E1208" s="1">
        <v>1</v>
      </c>
      <c r="F1208" s="1" t="s">
        <v>145</v>
      </c>
      <c r="G1208" s="1">
        <v>54</v>
      </c>
      <c r="H1208" s="1">
        <v>1.1000000000000001</v>
      </c>
    </row>
    <row r="1209" spans="1:8">
      <c r="A1209" s="1" t="s">
        <v>69</v>
      </c>
      <c r="B1209" s="4">
        <v>40723</v>
      </c>
      <c r="C1209" s="1" t="s">
        <v>178</v>
      </c>
      <c r="D1209" s="1" t="s">
        <v>150</v>
      </c>
      <c r="E1209" s="1">
        <v>1</v>
      </c>
      <c r="F1209" s="1" t="s">
        <v>145</v>
      </c>
      <c r="G1209" s="1">
        <v>42</v>
      </c>
      <c r="H1209" s="1">
        <v>0.6</v>
      </c>
    </row>
    <row r="1210" spans="1:8">
      <c r="A1210" s="1" t="s">
        <v>69</v>
      </c>
      <c r="B1210" s="4">
        <v>40723</v>
      </c>
      <c r="C1210" s="1" t="s">
        <v>178</v>
      </c>
      <c r="D1210" s="1" t="s">
        <v>150</v>
      </c>
      <c r="E1210" s="1">
        <v>1</v>
      </c>
      <c r="F1210" s="1" t="s">
        <v>145</v>
      </c>
      <c r="G1210" s="1">
        <v>55</v>
      </c>
      <c r="H1210" s="1">
        <v>1.2</v>
      </c>
    </row>
    <row r="1211" spans="1:8">
      <c r="A1211" s="1" t="s">
        <v>69</v>
      </c>
      <c r="B1211" s="4">
        <v>40723</v>
      </c>
      <c r="C1211" s="1" t="s">
        <v>178</v>
      </c>
      <c r="D1211" s="1" t="s">
        <v>150</v>
      </c>
      <c r="E1211" s="1">
        <v>1</v>
      </c>
      <c r="F1211" s="1" t="s">
        <v>145</v>
      </c>
      <c r="G1211" s="1">
        <v>98</v>
      </c>
      <c r="H1211" s="1">
        <v>9.8000000000000007</v>
      </c>
    </row>
    <row r="1212" spans="1:8">
      <c r="A1212" s="1" t="s">
        <v>69</v>
      </c>
      <c r="B1212" s="4">
        <v>40723</v>
      </c>
      <c r="C1212" s="1" t="s">
        <v>178</v>
      </c>
      <c r="D1212" s="1" t="s">
        <v>150</v>
      </c>
      <c r="E1212" s="1">
        <v>1</v>
      </c>
      <c r="F1212" s="1" t="s">
        <v>145</v>
      </c>
      <c r="G1212" s="1">
        <v>60</v>
      </c>
      <c r="H1212" s="1">
        <v>1.6</v>
      </c>
    </row>
    <row r="1213" spans="1:8">
      <c r="A1213" s="1" t="s">
        <v>69</v>
      </c>
      <c r="B1213" s="4">
        <v>40723</v>
      </c>
      <c r="C1213" s="1" t="s">
        <v>178</v>
      </c>
      <c r="D1213" s="1" t="s">
        <v>150</v>
      </c>
      <c r="E1213" s="1">
        <v>1</v>
      </c>
      <c r="F1213" s="1" t="s">
        <v>145</v>
      </c>
      <c r="G1213" s="1">
        <v>50</v>
      </c>
      <c r="H1213" s="1">
        <v>1.5</v>
      </c>
    </row>
    <row r="1214" spans="1:8">
      <c r="A1214" s="1" t="s">
        <v>69</v>
      </c>
      <c r="B1214" s="4">
        <v>40723</v>
      </c>
      <c r="C1214" s="1" t="s">
        <v>178</v>
      </c>
      <c r="D1214" s="1" t="s">
        <v>150</v>
      </c>
      <c r="E1214" s="1">
        <v>1</v>
      </c>
      <c r="F1214" s="1" t="s">
        <v>145</v>
      </c>
      <c r="G1214" s="1">
        <v>54</v>
      </c>
      <c r="H1214" s="1">
        <v>1.4</v>
      </c>
    </row>
    <row r="1215" spans="1:8">
      <c r="A1215" s="1" t="s">
        <v>69</v>
      </c>
      <c r="B1215" s="4">
        <v>40723</v>
      </c>
      <c r="C1215" s="1" t="s">
        <v>178</v>
      </c>
      <c r="D1215" s="1" t="s">
        <v>150</v>
      </c>
      <c r="E1215" s="1">
        <v>1</v>
      </c>
      <c r="F1215" s="1" t="s">
        <v>145</v>
      </c>
      <c r="G1215" s="1">
        <v>44</v>
      </c>
    </row>
    <row r="1216" spans="1:8">
      <c r="A1216" s="1" t="s">
        <v>69</v>
      </c>
      <c r="B1216" s="4">
        <v>40723</v>
      </c>
      <c r="C1216" s="1" t="s">
        <v>178</v>
      </c>
      <c r="D1216" s="1" t="s">
        <v>150</v>
      </c>
      <c r="E1216" s="1">
        <v>1</v>
      </c>
      <c r="F1216" s="1" t="s">
        <v>145</v>
      </c>
      <c r="G1216" s="1">
        <v>57</v>
      </c>
      <c r="H1216" s="1">
        <v>1.5</v>
      </c>
    </row>
    <row r="1217" spans="1:9">
      <c r="A1217" s="1" t="s">
        <v>69</v>
      </c>
      <c r="B1217" s="4">
        <v>40723</v>
      </c>
      <c r="C1217" s="1" t="s">
        <v>178</v>
      </c>
      <c r="D1217" s="1" t="s">
        <v>150</v>
      </c>
      <c r="E1217" s="1">
        <v>1</v>
      </c>
      <c r="F1217" s="1" t="s">
        <v>145</v>
      </c>
      <c r="G1217" s="1">
        <v>28</v>
      </c>
    </row>
    <row r="1218" spans="1:9">
      <c r="A1218" s="1" t="s">
        <v>69</v>
      </c>
      <c r="B1218" s="4">
        <v>40723</v>
      </c>
      <c r="C1218" s="1" t="s">
        <v>178</v>
      </c>
      <c r="D1218" s="1" t="s">
        <v>150</v>
      </c>
      <c r="E1218" s="1">
        <v>2</v>
      </c>
      <c r="F1218" s="1" t="s">
        <v>145</v>
      </c>
      <c r="G1218" s="1">
        <v>50</v>
      </c>
      <c r="H1218" s="1">
        <v>1.3</v>
      </c>
    </row>
    <row r="1219" spans="1:9">
      <c r="A1219" s="1" t="s">
        <v>69</v>
      </c>
      <c r="B1219" s="4">
        <v>40723</v>
      </c>
      <c r="C1219" s="1" t="s">
        <v>178</v>
      </c>
      <c r="D1219" s="1" t="s">
        <v>150</v>
      </c>
      <c r="E1219" s="1">
        <v>2</v>
      </c>
      <c r="F1219" s="1" t="s">
        <v>145</v>
      </c>
      <c r="G1219" s="1">
        <v>110</v>
      </c>
    </row>
    <row r="1220" spans="1:9">
      <c r="A1220" s="1" t="s">
        <v>69</v>
      </c>
      <c r="B1220" s="4">
        <v>40723</v>
      </c>
      <c r="C1220" s="1" t="s">
        <v>178</v>
      </c>
      <c r="D1220" s="1" t="s">
        <v>150</v>
      </c>
      <c r="E1220" s="1">
        <v>2</v>
      </c>
      <c r="F1220" s="1" t="s">
        <v>145</v>
      </c>
      <c r="G1220" s="1">
        <v>60</v>
      </c>
      <c r="H1220" s="1">
        <v>1.2</v>
      </c>
    </row>
    <row r="1221" spans="1:9">
      <c r="A1221" s="1" t="s">
        <v>69</v>
      </c>
      <c r="B1221" s="4">
        <v>40723</v>
      </c>
      <c r="C1221" s="1" t="s">
        <v>178</v>
      </c>
      <c r="D1221" s="1" t="s">
        <v>150</v>
      </c>
      <c r="E1221" s="1">
        <v>2</v>
      </c>
      <c r="F1221" s="1" t="s">
        <v>145</v>
      </c>
      <c r="G1221" s="1">
        <v>45</v>
      </c>
      <c r="H1221" s="1">
        <v>1</v>
      </c>
    </row>
    <row r="1222" spans="1:9">
      <c r="A1222" s="1" t="s">
        <v>69</v>
      </c>
      <c r="B1222" s="4">
        <v>40723</v>
      </c>
      <c r="C1222" s="1" t="s">
        <v>178</v>
      </c>
      <c r="D1222" s="1" t="s">
        <v>150</v>
      </c>
      <c r="E1222" s="1">
        <v>2</v>
      </c>
      <c r="F1222" s="1" t="s">
        <v>145</v>
      </c>
      <c r="G1222" s="1">
        <v>57</v>
      </c>
      <c r="H1222" s="1">
        <v>1.6</v>
      </c>
    </row>
    <row r="1223" spans="1:9">
      <c r="A1223" s="1" t="s">
        <v>69</v>
      </c>
      <c r="B1223" s="4">
        <v>40723</v>
      </c>
      <c r="C1223" s="1" t="s">
        <v>178</v>
      </c>
      <c r="D1223" s="1" t="s">
        <v>150</v>
      </c>
      <c r="E1223" s="1">
        <v>2</v>
      </c>
      <c r="F1223" s="1" t="s">
        <v>145</v>
      </c>
      <c r="G1223" s="1">
        <v>49</v>
      </c>
      <c r="H1223" s="1">
        <v>1</v>
      </c>
    </row>
    <row r="1224" spans="1:9">
      <c r="A1224" s="1" t="s">
        <v>69</v>
      </c>
      <c r="B1224" s="4">
        <v>40723</v>
      </c>
      <c r="C1224" s="1" t="s">
        <v>178</v>
      </c>
      <c r="D1224" s="1" t="s">
        <v>150</v>
      </c>
      <c r="E1224" s="1">
        <v>2</v>
      </c>
      <c r="F1224" s="1" t="s">
        <v>145</v>
      </c>
      <c r="G1224" s="1">
        <v>55</v>
      </c>
      <c r="H1224" s="1">
        <v>1.1000000000000001</v>
      </c>
    </row>
    <row r="1225" spans="1:9">
      <c r="A1225" s="1" t="s">
        <v>69</v>
      </c>
      <c r="B1225" s="4">
        <v>40723</v>
      </c>
      <c r="C1225" s="1" t="s">
        <v>178</v>
      </c>
      <c r="D1225" s="1" t="s">
        <v>150</v>
      </c>
      <c r="E1225" s="1">
        <v>2</v>
      </c>
      <c r="F1225" s="1" t="s">
        <v>145</v>
      </c>
      <c r="G1225" s="1">
        <v>109</v>
      </c>
    </row>
    <row r="1226" spans="1:9">
      <c r="A1226" s="1" t="s">
        <v>69</v>
      </c>
      <c r="B1226" s="4">
        <v>40723</v>
      </c>
      <c r="C1226" s="1" t="s">
        <v>178</v>
      </c>
      <c r="D1226" s="1" t="s">
        <v>150</v>
      </c>
      <c r="E1226" s="1">
        <v>2</v>
      </c>
      <c r="F1226" s="1" t="s">
        <v>145</v>
      </c>
      <c r="G1226" s="1">
        <v>70</v>
      </c>
      <c r="H1226" s="1">
        <v>3.5</v>
      </c>
    </row>
    <row r="1227" spans="1:9">
      <c r="A1227" s="1" t="s">
        <v>69</v>
      </c>
      <c r="B1227" s="4">
        <v>40723</v>
      </c>
      <c r="C1227" s="1" t="s">
        <v>178</v>
      </c>
      <c r="D1227" s="1" t="s">
        <v>150</v>
      </c>
      <c r="E1227" s="1">
        <v>2</v>
      </c>
      <c r="F1227" s="1" t="s">
        <v>145</v>
      </c>
      <c r="G1227" s="1">
        <v>31</v>
      </c>
    </row>
    <row r="1228" spans="1:9">
      <c r="A1228" s="1" t="s">
        <v>69</v>
      </c>
      <c r="B1228" s="4">
        <v>40723</v>
      </c>
      <c r="C1228" s="1" t="s">
        <v>178</v>
      </c>
      <c r="D1228" s="1" t="s">
        <v>150</v>
      </c>
      <c r="E1228" s="1">
        <v>2</v>
      </c>
      <c r="F1228" s="1" t="s">
        <v>145</v>
      </c>
      <c r="G1228" s="1">
        <v>26</v>
      </c>
    </row>
    <row r="1229" spans="1:9">
      <c r="A1229" s="1" t="s">
        <v>69</v>
      </c>
      <c r="B1229" s="4">
        <v>40723</v>
      </c>
      <c r="C1229" s="1" t="s">
        <v>178</v>
      </c>
      <c r="D1229" s="1" t="s">
        <v>150</v>
      </c>
      <c r="E1229" s="1">
        <v>2</v>
      </c>
      <c r="F1229" s="1" t="s">
        <v>145</v>
      </c>
      <c r="G1229" s="1">
        <v>54</v>
      </c>
      <c r="H1229" s="1">
        <v>1.3</v>
      </c>
    </row>
    <row r="1230" spans="1:9">
      <c r="A1230" s="1" t="s">
        <v>69</v>
      </c>
      <c r="B1230" s="4">
        <v>40723</v>
      </c>
      <c r="C1230" s="1" t="s">
        <v>178</v>
      </c>
      <c r="D1230" s="1" t="s">
        <v>150</v>
      </c>
      <c r="E1230" s="1">
        <v>2</v>
      </c>
      <c r="F1230" s="1" t="s">
        <v>145</v>
      </c>
      <c r="G1230" s="1">
        <v>30</v>
      </c>
    </row>
    <row r="1231" spans="1:9">
      <c r="A1231" s="1" t="s">
        <v>69</v>
      </c>
      <c r="B1231" s="4">
        <v>40723</v>
      </c>
      <c r="C1231" s="1" t="s">
        <v>178</v>
      </c>
      <c r="D1231" s="1" t="s">
        <v>150</v>
      </c>
      <c r="E1231" s="1">
        <v>2</v>
      </c>
      <c r="F1231" s="1" t="s">
        <v>148</v>
      </c>
      <c r="G1231" s="1">
        <v>80</v>
      </c>
      <c r="H1231" s="1">
        <v>5.2</v>
      </c>
    </row>
    <row r="1232" spans="1:9">
      <c r="A1232" s="1" t="s">
        <v>68</v>
      </c>
      <c r="B1232" s="4">
        <v>40722</v>
      </c>
      <c r="C1232" s="1" t="s">
        <v>180</v>
      </c>
      <c r="I1232" s="1" t="s">
        <v>181</v>
      </c>
    </row>
    <row r="1233" spans="1:8">
      <c r="A1233" s="1" t="s">
        <v>70</v>
      </c>
      <c r="B1233" s="4">
        <v>40729</v>
      </c>
      <c r="C1233" s="1" t="s">
        <v>171</v>
      </c>
      <c r="D1233" s="1" t="s">
        <v>141</v>
      </c>
      <c r="E1233" s="1">
        <v>1</v>
      </c>
      <c r="F1233" s="1" t="s">
        <v>145</v>
      </c>
      <c r="G1233" s="1">
        <v>69</v>
      </c>
      <c r="H1233" s="1">
        <v>3.2</v>
      </c>
    </row>
    <row r="1234" spans="1:8">
      <c r="A1234" s="1" t="s">
        <v>70</v>
      </c>
      <c r="B1234" s="4">
        <v>40729</v>
      </c>
      <c r="C1234" s="1" t="s">
        <v>171</v>
      </c>
      <c r="D1234" s="1" t="s">
        <v>141</v>
      </c>
      <c r="E1234" s="1">
        <v>1</v>
      </c>
      <c r="F1234" s="1" t="s">
        <v>145</v>
      </c>
      <c r="G1234" s="1">
        <v>71</v>
      </c>
      <c r="H1234" s="1">
        <v>3.3</v>
      </c>
    </row>
    <row r="1235" spans="1:8">
      <c r="A1235" s="1" t="s">
        <v>70</v>
      </c>
      <c r="B1235" s="4">
        <v>40729</v>
      </c>
      <c r="C1235" s="1" t="s">
        <v>171</v>
      </c>
      <c r="D1235" s="1" t="s">
        <v>141</v>
      </c>
      <c r="E1235" s="1">
        <v>1</v>
      </c>
      <c r="F1235" s="1" t="s">
        <v>145</v>
      </c>
      <c r="G1235" s="1">
        <v>99</v>
      </c>
      <c r="H1235" s="1">
        <v>9.1999999999999993</v>
      </c>
    </row>
    <row r="1236" spans="1:8">
      <c r="A1236" s="1" t="s">
        <v>70</v>
      </c>
      <c r="B1236" s="4">
        <v>40729</v>
      </c>
      <c r="C1236" s="1" t="s">
        <v>171</v>
      </c>
      <c r="D1236" s="1" t="s">
        <v>141</v>
      </c>
      <c r="E1236" s="1">
        <v>1</v>
      </c>
      <c r="F1236" s="1" t="s">
        <v>145</v>
      </c>
      <c r="G1236" s="1">
        <v>65</v>
      </c>
      <c r="H1236" s="1">
        <v>2.7</v>
      </c>
    </row>
    <row r="1237" spans="1:8">
      <c r="A1237" s="1" t="s">
        <v>70</v>
      </c>
      <c r="B1237" s="4">
        <v>40729</v>
      </c>
      <c r="C1237" s="1" t="s">
        <v>171</v>
      </c>
      <c r="D1237" s="1" t="s">
        <v>141</v>
      </c>
      <c r="E1237" s="1">
        <v>1</v>
      </c>
      <c r="F1237" s="1" t="s">
        <v>145</v>
      </c>
      <c r="G1237" s="1">
        <v>69</v>
      </c>
      <c r="H1237" s="1">
        <v>3.2</v>
      </c>
    </row>
    <row r="1238" spans="1:8">
      <c r="A1238" s="1" t="s">
        <v>70</v>
      </c>
      <c r="B1238" s="4">
        <v>40729</v>
      </c>
      <c r="C1238" s="1" t="s">
        <v>171</v>
      </c>
      <c r="D1238" s="1" t="s">
        <v>141</v>
      </c>
      <c r="E1238" s="1">
        <v>1</v>
      </c>
      <c r="F1238" s="1" t="s">
        <v>145</v>
      </c>
      <c r="G1238" s="1">
        <v>61</v>
      </c>
      <c r="H1238" s="1">
        <v>2.2999999999999998</v>
      </c>
    </row>
    <row r="1239" spans="1:8">
      <c r="A1239" s="1" t="s">
        <v>70</v>
      </c>
      <c r="B1239" s="4">
        <v>40729</v>
      </c>
      <c r="C1239" s="1" t="s">
        <v>171</v>
      </c>
      <c r="D1239" s="1" t="s">
        <v>141</v>
      </c>
      <c r="E1239" s="1">
        <v>1</v>
      </c>
      <c r="F1239" s="1" t="s">
        <v>145</v>
      </c>
      <c r="G1239" s="1">
        <v>64</v>
      </c>
      <c r="H1239" s="1">
        <v>2.5</v>
      </c>
    </row>
    <row r="1240" spans="1:8">
      <c r="A1240" s="1" t="s">
        <v>70</v>
      </c>
      <c r="B1240" s="4">
        <v>40729</v>
      </c>
      <c r="C1240" s="1" t="s">
        <v>171</v>
      </c>
      <c r="D1240" s="1" t="s">
        <v>141</v>
      </c>
      <c r="E1240" s="1">
        <v>1</v>
      </c>
      <c r="F1240" s="1" t="s">
        <v>145</v>
      </c>
      <c r="G1240" s="1">
        <v>67</v>
      </c>
      <c r="H1240" s="1">
        <v>2.9</v>
      </c>
    </row>
    <row r="1241" spans="1:8">
      <c r="A1241" s="1" t="s">
        <v>70</v>
      </c>
      <c r="B1241" s="4">
        <v>40729</v>
      </c>
      <c r="C1241" s="1" t="s">
        <v>171</v>
      </c>
      <c r="D1241" s="1" t="s">
        <v>141</v>
      </c>
      <c r="E1241" s="1">
        <v>1</v>
      </c>
      <c r="F1241" s="1" t="s">
        <v>145</v>
      </c>
      <c r="G1241" s="1">
        <v>61</v>
      </c>
      <c r="H1241" s="1">
        <v>2.8</v>
      </c>
    </row>
    <row r="1242" spans="1:8">
      <c r="A1242" s="1" t="s">
        <v>70</v>
      </c>
      <c r="B1242" s="4">
        <v>40729</v>
      </c>
      <c r="C1242" s="1" t="s">
        <v>171</v>
      </c>
      <c r="D1242" s="1" t="s">
        <v>141</v>
      </c>
      <c r="E1242" s="1">
        <v>1</v>
      </c>
      <c r="F1242" s="1" t="s">
        <v>145</v>
      </c>
      <c r="G1242" s="1">
        <v>122</v>
      </c>
    </row>
    <row r="1243" spans="1:8">
      <c r="A1243" s="1" t="s">
        <v>70</v>
      </c>
      <c r="B1243" s="4">
        <v>40729</v>
      </c>
      <c r="C1243" s="1" t="s">
        <v>171</v>
      </c>
      <c r="D1243" s="1" t="s">
        <v>141</v>
      </c>
      <c r="E1243" s="1">
        <v>1</v>
      </c>
      <c r="F1243" s="1" t="s">
        <v>145</v>
      </c>
      <c r="G1243" s="1">
        <v>77</v>
      </c>
      <c r="H1243" s="1">
        <v>4.2</v>
      </c>
    </row>
    <row r="1244" spans="1:8">
      <c r="A1244" s="1" t="s">
        <v>70</v>
      </c>
      <c r="B1244" s="4">
        <v>40729</v>
      </c>
      <c r="C1244" s="1" t="s">
        <v>171</v>
      </c>
      <c r="D1244" s="1" t="s">
        <v>141</v>
      </c>
      <c r="E1244" s="1">
        <v>1</v>
      </c>
      <c r="F1244" s="1" t="s">
        <v>145</v>
      </c>
      <c r="G1244" s="1">
        <v>64</v>
      </c>
      <c r="H1244" s="1">
        <v>2.2000000000000002</v>
      </c>
    </row>
    <row r="1245" spans="1:8">
      <c r="A1245" s="1" t="s">
        <v>70</v>
      </c>
      <c r="B1245" s="4">
        <v>40729</v>
      </c>
      <c r="C1245" s="1" t="s">
        <v>171</v>
      </c>
      <c r="D1245" s="1" t="s">
        <v>141</v>
      </c>
      <c r="E1245" s="1">
        <v>1</v>
      </c>
      <c r="F1245" s="1" t="s">
        <v>145</v>
      </c>
      <c r="G1245" s="1">
        <v>58</v>
      </c>
      <c r="H1245" s="1">
        <v>1.7</v>
      </c>
    </row>
    <row r="1246" spans="1:8">
      <c r="A1246" s="1" t="s">
        <v>70</v>
      </c>
      <c r="B1246" s="4">
        <v>40729</v>
      </c>
      <c r="C1246" s="1" t="s">
        <v>171</v>
      </c>
      <c r="D1246" s="1" t="s">
        <v>141</v>
      </c>
      <c r="E1246" s="1">
        <v>1</v>
      </c>
      <c r="F1246" s="1" t="s">
        <v>145</v>
      </c>
      <c r="G1246" s="1">
        <v>63</v>
      </c>
      <c r="H1246" s="1">
        <v>2.1</v>
      </c>
    </row>
    <row r="1247" spans="1:8">
      <c r="A1247" s="1" t="s">
        <v>70</v>
      </c>
      <c r="B1247" s="4">
        <v>40729</v>
      </c>
      <c r="C1247" s="1" t="s">
        <v>171</v>
      </c>
      <c r="D1247" s="1" t="s">
        <v>141</v>
      </c>
      <c r="E1247" s="1">
        <v>1</v>
      </c>
      <c r="F1247" s="1" t="s">
        <v>145</v>
      </c>
      <c r="G1247" s="1">
        <v>122</v>
      </c>
    </row>
    <row r="1248" spans="1:8">
      <c r="A1248" s="1" t="s">
        <v>70</v>
      </c>
      <c r="B1248" s="4">
        <v>40729</v>
      </c>
      <c r="C1248" s="1" t="s">
        <v>171</v>
      </c>
      <c r="D1248" s="1" t="s">
        <v>141</v>
      </c>
      <c r="E1248" s="1">
        <v>1</v>
      </c>
      <c r="F1248" s="1" t="s">
        <v>145</v>
      </c>
      <c r="G1248" s="1">
        <v>57</v>
      </c>
      <c r="H1248" s="1">
        <v>1.5</v>
      </c>
    </row>
    <row r="1249" spans="1:8">
      <c r="A1249" s="1" t="s">
        <v>70</v>
      </c>
      <c r="B1249" s="4">
        <v>40729</v>
      </c>
      <c r="C1249" s="1" t="s">
        <v>171</v>
      </c>
      <c r="D1249" s="1" t="s">
        <v>141</v>
      </c>
      <c r="E1249" s="1">
        <v>1</v>
      </c>
      <c r="F1249" s="1" t="s">
        <v>142</v>
      </c>
      <c r="G1249" s="1">
        <v>67</v>
      </c>
      <c r="H1249" s="1">
        <v>3.3</v>
      </c>
    </row>
    <row r="1250" spans="1:8">
      <c r="A1250" s="1" t="s">
        <v>70</v>
      </c>
      <c r="B1250" s="4">
        <v>40729</v>
      </c>
      <c r="C1250" s="1" t="s">
        <v>171</v>
      </c>
      <c r="D1250" s="1" t="s">
        <v>141</v>
      </c>
      <c r="E1250" s="1">
        <v>1</v>
      </c>
      <c r="F1250" s="1" t="s">
        <v>142</v>
      </c>
      <c r="G1250" s="1">
        <v>61</v>
      </c>
      <c r="H1250" s="1">
        <v>2.2999999999999998</v>
      </c>
    </row>
    <row r="1251" spans="1:8">
      <c r="A1251" s="1" t="s">
        <v>70</v>
      </c>
      <c r="B1251" s="4">
        <v>40729</v>
      </c>
      <c r="C1251" s="1" t="s">
        <v>171</v>
      </c>
      <c r="D1251" s="1" t="s">
        <v>141</v>
      </c>
      <c r="E1251" s="1">
        <v>1</v>
      </c>
      <c r="F1251" s="1" t="s">
        <v>142</v>
      </c>
      <c r="G1251" s="1">
        <v>65</v>
      </c>
      <c r="H1251" s="1">
        <v>3</v>
      </c>
    </row>
    <row r="1252" spans="1:8">
      <c r="A1252" s="1" t="s">
        <v>70</v>
      </c>
      <c r="B1252" s="4">
        <v>40729</v>
      </c>
      <c r="C1252" s="1" t="s">
        <v>171</v>
      </c>
      <c r="D1252" s="1" t="s">
        <v>141</v>
      </c>
      <c r="E1252" s="1">
        <v>1</v>
      </c>
      <c r="F1252" s="1" t="s">
        <v>142</v>
      </c>
      <c r="G1252" s="1">
        <v>58</v>
      </c>
      <c r="H1252" s="1">
        <v>2.4</v>
      </c>
    </row>
    <row r="1253" spans="1:8">
      <c r="A1253" s="1" t="s">
        <v>70</v>
      </c>
      <c r="B1253" s="4">
        <v>40729</v>
      </c>
      <c r="C1253" s="1" t="s">
        <v>171</v>
      </c>
      <c r="D1253" s="1" t="s">
        <v>141</v>
      </c>
      <c r="E1253" s="1">
        <v>1</v>
      </c>
      <c r="F1253" s="1" t="s">
        <v>142</v>
      </c>
      <c r="G1253" s="1">
        <v>55</v>
      </c>
      <c r="H1253" s="1">
        <v>1.7</v>
      </c>
    </row>
    <row r="1254" spans="1:8">
      <c r="A1254" s="1" t="s">
        <v>70</v>
      </c>
      <c r="B1254" s="4">
        <v>40729</v>
      </c>
      <c r="C1254" s="1" t="s">
        <v>171</v>
      </c>
      <c r="D1254" s="1" t="s">
        <v>141</v>
      </c>
      <c r="E1254" s="1">
        <v>1</v>
      </c>
      <c r="F1254" s="1" t="s">
        <v>142</v>
      </c>
      <c r="G1254" s="1">
        <v>75</v>
      </c>
      <c r="H1254" s="1">
        <v>4.5</v>
      </c>
    </row>
    <row r="1255" spans="1:8">
      <c r="A1255" s="1" t="s">
        <v>70</v>
      </c>
      <c r="B1255" s="4">
        <v>40729</v>
      </c>
      <c r="C1255" s="1" t="s">
        <v>171</v>
      </c>
      <c r="D1255" s="1" t="s">
        <v>141</v>
      </c>
      <c r="E1255" s="1">
        <v>1</v>
      </c>
      <c r="F1255" s="1" t="s">
        <v>142</v>
      </c>
      <c r="G1255" s="1">
        <v>65</v>
      </c>
      <c r="H1255" s="1">
        <v>3</v>
      </c>
    </row>
    <row r="1256" spans="1:8">
      <c r="A1256" s="1" t="s">
        <v>70</v>
      </c>
      <c r="B1256" s="4">
        <v>40729</v>
      </c>
      <c r="C1256" s="1" t="s">
        <v>171</v>
      </c>
      <c r="D1256" s="1" t="s">
        <v>141</v>
      </c>
      <c r="E1256" s="1">
        <v>1</v>
      </c>
      <c r="F1256" s="1" t="s">
        <v>142</v>
      </c>
      <c r="G1256" s="1">
        <v>65</v>
      </c>
      <c r="H1256" s="1">
        <v>2.9</v>
      </c>
    </row>
    <row r="1257" spans="1:8">
      <c r="A1257" s="1" t="s">
        <v>70</v>
      </c>
      <c r="B1257" s="4">
        <v>40729</v>
      </c>
      <c r="C1257" s="1" t="s">
        <v>171</v>
      </c>
      <c r="D1257" s="1" t="s">
        <v>141</v>
      </c>
      <c r="E1257" s="1">
        <v>1</v>
      </c>
      <c r="F1257" s="1" t="s">
        <v>142</v>
      </c>
      <c r="G1257" s="1">
        <v>63</v>
      </c>
      <c r="H1257" s="1">
        <v>2.6</v>
      </c>
    </row>
    <row r="1258" spans="1:8">
      <c r="A1258" s="1" t="s">
        <v>70</v>
      </c>
      <c r="B1258" s="4">
        <v>40729</v>
      </c>
      <c r="C1258" s="1" t="s">
        <v>171</v>
      </c>
      <c r="D1258" s="1" t="s">
        <v>141</v>
      </c>
      <c r="E1258" s="1">
        <v>1</v>
      </c>
      <c r="F1258" s="1" t="s">
        <v>142</v>
      </c>
      <c r="G1258" s="1">
        <v>66</v>
      </c>
      <c r="H1258" s="1">
        <v>3.2</v>
      </c>
    </row>
    <row r="1259" spans="1:8">
      <c r="A1259" s="1" t="s">
        <v>70</v>
      </c>
      <c r="B1259" s="4">
        <v>40729</v>
      </c>
      <c r="C1259" s="1" t="s">
        <v>171</v>
      </c>
      <c r="D1259" s="1" t="s">
        <v>141</v>
      </c>
      <c r="E1259" s="1">
        <v>1</v>
      </c>
      <c r="F1259" s="1" t="s">
        <v>142</v>
      </c>
      <c r="G1259" s="1">
        <v>57</v>
      </c>
      <c r="H1259" s="1">
        <v>2.2999999999999998</v>
      </c>
    </row>
    <row r="1260" spans="1:8">
      <c r="A1260" s="1" t="s">
        <v>70</v>
      </c>
      <c r="B1260" s="4">
        <v>40729</v>
      </c>
      <c r="C1260" s="1" t="s">
        <v>171</v>
      </c>
      <c r="D1260" s="1" t="s">
        <v>141</v>
      </c>
      <c r="E1260" s="1">
        <v>1</v>
      </c>
      <c r="F1260" s="1" t="s">
        <v>142</v>
      </c>
      <c r="G1260" s="1">
        <v>53</v>
      </c>
      <c r="H1260" s="1">
        <v>1.9</v>
      </c>
    </row>
    <row r="1261" spans="1:8">
      <c r="A1261" s="1" t="s">
        <v>70</v>
      </c>
      <c r="B1261" s="4">
        <v>40729</v>
      </c>
      <c r="C1261" s="1" t="s">
        <v>171</v>
      </c>
      <c r="D1261" s="1" t="s">
        <v>141</v>
      </c>
      <c r="E1261" s="1">
        <v>1</v>
      </c>
      <c r="F1261" s="1" t="s">
        <v>142</v>
      </c>
      <c r="G1261" s="1">
        <v>66</v>
      </c>
      <c r="H1261" s="1">
        <v>3.4</v>
      </c>
    </row>
    <row r="1262" spans="1:8">
      <c r="A1262" s="1" t="s">
        <v>70</v>
      </c>
      <c r="B1262" s="4">
        <v>40729</v>
      </c>
      <c r="C1262" s="1" t="s">
        <v>171</v>
      </c>
      <c r="D1262" s="1" t="s">
        <v>141</v>
      </c>
      <c r="E1262" s="1">
        <v>1</v>
      </c>
      <c r="F1262" s="1" t="s">
        <v>142</v>
      </c>
      <c r="G1262" s="1">
        <v>67</v>
      </c>
      <c r="H1262" s="1">
        <v>3.4</v>
      </c>
    </row>
    <row r="1263" spans="1:8">
      <c r="A1263" s="1" t="s">
        <v>70</v>
      </c>
      <c r="B1263" s="4">
        <v>40729</v>
      </c>
      <c r="C1263" s="1" t="s">
        <v>171</v>
      </c>
      <c r="D1263" s="1" t="s">
        <v>141</v>
      </c>
      <c r="E1263" s="1">
        <v>1</v>
      </c>
      <c r="F1263" s="1" t="s">
        <v>142</v>
      </c>
      <c r="G1263" s="1">
        <v>63</v>
      </c>
      <c r="H1263" s="1">
        <v>2.6</v>
      </c>
    </row>
    <row r="1264" spans="1:8">
      <c r="A1264" s="1" t="s">
        <v>70</v>
      </c>
      <c r="B1264" s="4">
        <v>40729</v>
      </c>
      <c r="C1264" s="1" t="s">
        <v>171</v>
      </c>
      <c r="D1264" s="1" t="s">
        <v>141</v>
      </c>
      <c r="E1264" s="1">
        <v>1</v>
      </c>
      <c r="F1264" s="1" t="s">
        <v>142</v>
      </c>
      <c r="G1264" s="1">
        <v>66</v>
      </c>
      <c r="H1264" s="1">
        <v>3.2</v>
      </c>
    </row>
    <row r="1265" spans="1:8">
      <c r="A1265" s="1" t="s">
        <v>70</v>
      </c>
      <c r="B1265" s="4">
        <v>40729</v>
      </c>
      <c r="C1265" s="1" t="s">
        <v>171</v>
      </c>
      <c r="D1265" s="1" t="s">
        <v>141</v>
      </c>
      <c r="E1265" s="1">
        <v>1</v>
      </c>
      <c r="F1265" s="1" t="s">
        <v>142</v>
      </c>
      <c r="G1265" s="1">
        <v>66</v>
      </c>
      <c r="H1265" s="1">
        <v>3</v>
      </c>
    </row>
    <row r="1266" spans="1:8">
      <c r="A1266" s="1" t="s">
        <v>70</v>
      </c>
      <c r="B1266" s="4">
        <v>40729</v>
      </c>
      <c r="C1266" s="1" t="s">
        <v>171</v>
      </c>
      <c r="D1266" s="1" t="s">
        <v>141</v>
      </c>
      <c r="E1266" s="1">
        <v>2</v>
      </c>
      <c r="F1266" s="1" t="s">
        <v>142</v>
      </c>
      <c r="G1266" s="1">
        <v>59</v>
      </c>
      <c r="H1266" s="1">
        <v>2.2000000000000002</v>
      </c>
    </row>
    <row r="1267" spans="1:8">
      <c r="A1267" s="1" t="s">
        <v>70</v>
      </c>
      <c r="B1267" s="4">
        <v>40729</v>
      </c>
      <c r="C1267" s="1" t="s">
        <v>171</v>
      </c>
      <c r="D1267" s="1" t="s">
        <v>141</v>
      </c>
      <c r="E1267" s="1">
        <v>2</v>
      </c>
      <c r="F1267" s="1" t="s">
        <v>142</v>
      </c>
      <c r="G1267" s="1">
        <v>74</v>
      </c>
      <c r="H1267" s="1">
        <v>4.2</v>
      </c>
    </row>
    <row r="1268" spans="1:8">
      <c r="A1268" s="1" t="s">
        <v>70</v>
      </c>
      <c r="B1268" s="4">
        <v>40729</v>
      </c>
      <c r="C1268" s="1" t="s">
        <v>171</v>
      </c>
      <c r="D1268" s="1" t="s">
        <v>141</v>
      </c>
      <c r="E1268" s="1">
        <v>2</v>
      </c>
      <c r="F1268" s="1" t="s">
        <v>142</v>
      </c>
      <c r="G1268" s="1">
        <v>60</v>
      </c>
      <c r="H1268" s="1">
        <v>2.7</v>
      </c>
    </row>
    <row r="1269" spans="1:8">
      <c r="A1269" s="1" t="s">
        <v>70</v>
      </c>
      <c r="B1269" s="4">
        <v>40729</v>
      </c>
      <c r="C1269" s="1" t="s">
        <v>171</v>
      </c>
      <c r="D1269" s="1" t="s">
        <v>141</v>
      </c>
      <c r="E1269" s="1">
        <v>2</v>
      </c>
      <c r="F1269" s="1" t="s">
        <v>142</v>
      </c>
      <c r="G1269" s="1">
        <v>69</v>
      </c>
      <c r="H1269" s="1">
        <v>3.3</v>
      </c>
    </row>
    <row r="1270" spans="1:8">
      <c r="A1270" s="1" t="s">
        <v>70</v>
      </c>
      <c r="B1270" s="4">
        <v>40729</v>
      </c>
      <c r="C1270" s="1" t="s">
        <v>171</v>
      </c>
      <c r="D1270" s="1" t="s">
        <v>141</v>
      </c>
      <c r="E1270" s="1">
        <v>2</v>
      </c>
      <c r="F1270" s="1" t="s">
        <v>142</v>
      </c>
      <c r="G1270" s="1">
        <v>64</v>
      </c>
      <c r="H1270" s="1">
        <v>3</v>
      </c>
    </row>
    <row r="1271" spans="1:8">
      <c r="A1271" s="1" t="s">
        <v>70</v>
      </c>
      <c r="B1271" s="4">
        <v>40729</v>
      </c>
      <c r="C1271" s="1" t="s">
        <v>171</v>
      </c>
      <c r="D1271" s="1" t="s">
        <v>141</v>
      </c>
      <c r="E1271" s="1">
        <v>2</v>
      </c>
      <c r="F1271" s="1" t="s">
        <v>142</v>
      </c>
      <c r="G1271" s="1">
        <v>55</v>
      </c>
      <c r="H1271" s="1">
        <v>1.2</v>
      </c>
    </row>
    <row r="1272" spans="1:8">
      <c r="A1272" s="1" t="s">
        <v>70</v>
      </c>
      <c r="B1272" s="4">
        <v>40729</v>
      </c>
      <c r="C1272" s="1" t="s">
        <v>171</v>
      </c>
      <c r="D1272" s="1" t="s">
        <v>141</v>
      </c>
      <c r="E1272" s="1">
        <v>2</v>
      </c>
      <c r="F1272" s="1" t="s">
        <v>142</v>
      </c>
      <c r="G1272" s="1">
        <v>58</v>
      </c>
      <c r="H1272" s="1">
        <v>1.8</v>
      </c>
    </row>
    <row r="1273" spans="1:8">
      <c r="A1273" s="1" t="s">
        <v>70</v>
      </c>
      <c r="B1273" s="4">
        <v>40729</v>
      </c>
      <c r="C1273" s="1" t="s">
        <v>171</v>
      </c>
      <c r="D1273" s="1" t="s">
        <v>141</v>
      </c>
      <c r="E1273" s="1">
        <v>2</v>
      </c>
      <c r="F1273" s="1" t="s">
        <v>142</v>
      </c>
      <c r="G1273" s="1">
        <v>48</v>
      </c>
      <c r="H1273" s="1">
        <v>1.1000000000000001</v>
      </c>
    </row>
    <row r="1274" spans="1:8">
      <c r="A1274" s="1" t="s">
        <v>70</v>
      </c>
      <c r="B1274" s="4">
        <v>40729</v>
      </c>
      <c r="C1274" s="1" t="s">
        <v>171</v>
      </c>
      <c r="D1274" s="1" t="s">
        <v>141</v>
      </c>
      <c r="E1274" s="1">
        <v>2</v>
      </c>
      <c r="F1274" s="1" t="s">
        <v>142</v>
      </c>
      <c r="G1274" s="1">
        <v>53</v>
      </c>
      <c r="H1274" s="1">
        <v>1.6</v>
      </c>
    </row>
    <row r="1275" spans="1:8">
      <c r="A1275" s="1" t="s">
        <v>70</v>
      </c>
      <c r="B1275" s="4">
        <v>40729</v>
      </c>
      <c r="C1275" s="1" t="s">
        <v>171</v>
      </c>
      <c r="D1275" s="1" t="s">
        <v>141</v>
      </c>
      <c r="E1275" s="1">
        <v>2</v>
      </c>
      <c r="F1275" s="1" t="s">
        <v>142</v>
      </c>
      <c r="G1275" s="1">
        <v>59</v>
      </c>
      <c r="H1275" s="1">
        <v>2.2000000000000002</v>
      </c>
    </row>
    <row r="1276" spans="1:8">
      <c r="A1276" s="1" t="s">
        <v>70</v>
      </c>
      <c r="B1276" s="4">
        <v>40729</v>
      </c>
      <c r="C1276" s="1" t="s">
        <v>171</v>
      </c>
      <c r="D1276" s="1" t="s">
        <v>141</v>
      </c>
      <c r="E1276" s="1">
        <v>2</v>
      </c>
      <c r="F1276" s="1" t="s">
        <v>142</v>
      </c>
      <c r="G1276" s="1">
        <v>62</v>
      </c>
      <c r="H1276" s="1">
        <v>2.4</v>
      </c>
    </row>
    <row r="1277" spans="1:8">
      <c r="A1277" s="1" t="s">
        <v>70</v>
      </c>
      <c r="B1277" s="4">
        <v>40729</v>
      </c>
      <c r="C1277" s="1" t="s">
        <v>171</v>
      </c>
      <c r="D1277" s="1" t="s">
        <v>141</v>
      </c>
      <c r="E1277" s="1">
        <v>2</v>
      </c>
      <c r="F1277" s="1" t="s">
        <v>145</v>
      </c>
      <c r="G1277" s="1">
        <v>102</v>
      </c>
    </row>
    <row r="1278" spans="1:8">
      <c r="A1278" s="1" t="s">
        <v>70</v>
      </c>
      <c r="B1278" s="4">
        <v>40729</v>
      </c>
      <c r="C1278" s="1" t="s">
        <v>171</v>
      </c>
      <c r="D1278" s="1" t="s">
        <v>141</v>
      </c>
      <c r="E1278" s="1">
        <v>2</v>
      </c>
      <c r="F1278" s="1" t="s">
        <v>145</v>
      </c>
      <c r="G1278" s="1">
        <v>118</v>
      </c>
    </row>
    <row r="1279" spans="1:8">
      <c r="A1279" s="1" t="s">
        <v>70</v>
      </c>
      <c r="B1279" s="4">
        <v>40729</v>
      </c>
      <c r="C1279" s="1" t="s">
        <v>171</v>
      </c>
      <c r="D1279" s="1" t="s">
        <v>141</v>
      </c>
      <c r="E1279" s="1">
        <v>2</v>
      </c>
      <c r="F1279" s="1" t="s">
        <v>145</v>
      </c>
      <c r="G1279" s="1">
        <v>112</v>
      </c>
    </row>
    <row r="1280" spans="1:8">
      <c r="A1280" s="1" t="s">
        <v>70</v>
      </c>
      <c r="B1280" s="4">
        <v>40729</v>
      </c>
      <c r="C1280" s="1" t="s">
        <v>171</v>
      </c>
      <c r="D1280" s="1" t="s">
        <v>141</v>
      </c>
      <c r="E1280" s="1">
        <v>2</v>
      </c>
      <c r="F1280" s="1" t="s">
        <v>145</v>
      </c>
      <c r="G1280" s="1">
        <v>59</v>
      </c>
      <c r="H1280" s="1">
        <v>1.8</v>
      </c>
    </row>
    <row r="1281" spans="1:8">
      <c r="A1281" s="1" t="s">
        <v>70</v>
      </c>
      <c r="B1281" s="4">
        <v>40729</v>
      </c>
      <c r="C1281" s="1" t="s">
        <v>171</v>
      </c>
      <c r="D1281" s="1" t="s">
        <v>141</v>
      </c>
      <c r="E1281" s="1">
        <v>2</v>
      </c>
      <c r="F1281" s="1" t="s">
        <v>145</v>
      </c>
      <c r="G1281" s="1">
        <v>67</v>
      </c>
      <c r="H1281" s="1">
        <v>2</v>
      </c>
    </row>
    <row r="1282" spans="1:8">
      <c r="A1282" s="1" t="s">
        <v>70</v>
      </c>
      <c r="B1282" s="4">
        <v>40729</v>
      </c>
      <c r="C1282" s="1" t="s">
        <v>171</v>
      </c>
      <c r="D1282" s="1" t="s">
        <v>141</v>
      </c>
      <c r="E1282" s="1">
        <v>2</v>
      </c>
      <c r="F1282" s="1" t="s">
        <v>145</v>
      </c>
      <c r="G1282" s="1">
        <v>66</v>
      </c>
      <c r="H1282" s="1">
        <v>2.2000000000000002</v>
      </c>
    </row>
    <row r="1283" spans="1:8">
      <c r="A1283" s="1" t="s">
        <v>70</v>
      </c>
      <c r="B1283" s="4">
        <v>40729</v>
      </c>
      <c r="C1283" s="1" t="s">
        <v>171</v>
      </c>
      <c r="D1283" s="1" t="s">
        <v>141</v>
      </c>
      <c r="E1283" s="1">
        <v>2</v>
      </c>
      <c r="F1283" s="1" t="s">
        <v>145</v>
      </c>
      <c r="G1283" s="1">
        <v>73</v>
      </c>
      <c r="H1283" s="1">
        <v>3.6</v>
      </c>
    </row>
    <row r="1284" spans="1:8">
      <c r="A1284" s="1" t="s">
        <v>70</v>
      </c>
      <c r="B1284" s="4">
        <v>40729</v>
      </c>
      <c r="C1284" s="1" t="s">
        <v>171</v>
      </c>
      <c r="D1284" s="1" t="s">
        <v>141</v>
      </c>
      <c r="E1284" s="1">
        <v>2</v>
      </c>
      <c r="F1284" s="1" t="s">
        <v>145</v>
      </c>
      <c r="G1284" s="1">
        <v>66</v>
      </c>
      <c r="H1284" s="1">
        <v>1.6</v>
      </c>
    </row>
    <row r="1285" spans="1:8">
      <c r="A1285" s="1" t="s">
        <v>70</v>
      </c>
      <c r="B1285" s="4">
        <v>40729</v>
      </c>
      <c r="C1285" s="1" t="s">
        <v>171</v>
      </c>
      <c r="D1285" s="1" t="s">
        <v>141</v>
      </c>
      <c r="E1285" s="1">
        <v>2</v>
      </c>
      <c r="F1285" s="1" t="s">
        <v>145</v>
      </c>
      <c r="G1285" s="1">
        <v>65</v>
      </c>
      <c r="H1285" s="1">
        <v>2.1</v>
      </c>
    </row>
    <row r="1286" spans="1:8">
      <c r="A1286" s="1" t="s">
        <v>70</v>
      </c>
      <c r="B1286" s="4">
        <v>40729</v>
      </c>
      <c r="C1286" s="1" t="s">
        <v>171</v>
      </c>
      <c r="D1286" s="1" t="s">
        <v>141</v>
      </c>
      <c r="E1286" s="1">
        <v>2</v>
      </c>
      <c r="F1286" s="1" t="s">
        <v>145</v>
      </c>
      <c r="G1286" s="1">
        <v>63</v>
      </c>
      <c r="H1286" s="1">
        <v>2</v>
      </c>
    </row>
    <row r="1287" spans="1:8">
      <c r="A1287" s="1" t="s">
        <v>70</v>
      </c>
      <c r="B1287" s="4">
        <v>40729</v>
      </c>
      <c r="C1287" s="1" t="s">
        <v>171</v>
      </c>
      <c r="D1287" s="1" t="s">
        <v>141</v>
      </c>
      <c r="E1287" s="1">
        <v>2</v>
      </c>
      <c r="F1287" s="1" t="s">
        <v>145</v>
      </c>
      <c r="G1287" s="1">
        <v>63</v>
      </c>
      <c r="H1287" s="1">
        <v>2.4</v>
      </c>
    </row>
    <row r="1288" spans="1:8">
      <c r="A1288" s="1" t="s">
        <v>70</v>
      </c>
      <c r="B1288" s="4">
        <v>40729</v>
      </c>
      <c r="C1288" s="1" t="s">
        <v>171</v>
      </c>
      <c r="D1288" s="1" t="s">
        <v>141</v>
      </c>
      <c r="E1288" s="1">
        <v>2</v>
      </c>
      <c r="F1288" s="1" t="s">
        <v>145</v>
      </c>
      <c r="G1288" s="1">
        <v>63</v>
      </c>
      <c r="H1288" s="1">
        <v>2</v>
      </c>
    </row>
    <row r="1289" spans="1:8">
      <c r="A1289" s="1" t="s">
        <v>70</v>
      </c>
      <c r="B1289" s="4">
        <v>40729</v>
      </c>
      <c r="C1289" s="1" t="s">
        <v>171</v>
      </c>
      <c r="D1289" s="1" t="s">
        <v>141</v>
      </c>
      <c r="E1289" s="1">
        <v>2</v>
      </c>
      <c r="F1289" s="1" t="s">
        <v>145</v>
      </c>
      <c r="G1289" s="1">
        <v>64</v>
      </c>
      <c r="H1289" s="1">
        <v>2</v>
      </c>
    </row>
    <row r="1290" spans="1:8">
      <c r="A1290" s="1" t="s">
        <v>70</v>
      </c>
      <c r="B1290" s="4">
        <v>40729</v>
      </c>
      <c r="C1290" s="1" t="s">
        <v>171</v>
      </c>
      <c r="D1290" s="1" t="s">
        <v>141</v>
      </c>
      <c r="E1290" s="1">
        <v>2</v>
      </c>
      <c r="F1290" s="1" t="s">
        <v>145</v>
      </c>
      <c r="G1290" s="1">
        <v>57</v>
      </c>
      <c r="H1290" s="1">
        <v>1.7</v>
      </c>
    </row>
    <row r="1291" spans="1:8">
      <c r="A1291" s="1" t="s">
        <v>70</v>
      </c>
      <c r="B1291" s="4">
        <v>40729</v>
      </c>
      <c r="C1291" s="1" t="s">
        <v>171</v>
      </c>
      <c r="D1291" s="1" t="s">
        <v>141</v>
      </c>
      <c r="E1291" s="1">
        <v>2</v>
      </c>
      <c r="F1291" s="1" t="s">
        <v>145</v>
      </c>
      <c r="G1291" s="1">
        <v>55</v>
      </c>
      <c r="H1291" s="1">
        <v>1.3</v>
      </c>
    </row>
    <row r="1292" spans="1:8">
      <c r="A1292" s="1" t="s">
        <v>70</v>
      </c>
      <c r="B1292" s="4">
        <v>40729</v>
      </c>
      <c r="C1292" s="1" t="s">
        <v>171</v>
      </c>
      <c r="D1292" s="1" t="s">
        <v>141</v>
      </c>
      <c r="E1292" s="1">
        <v>2</v>
      </c>
      <c r="F1292" s="1" t="s">
        <v>145</v>
      </c>
      <c r="G1292" s="1">
        <v>62</v>
      </c>
      <c r="H1292" s="1">
        <v>1.4</v>
      </c>
    </row>
    <row r="1293" spans="1:8">
      <c r="A1293" s="1" t="s">
        <v>70</v>
      </c>
      <c r="B1293" s="4">
        <v>40729</v>
      </c>
      <c r="C1293" s="1" t="s">
        <v>171</v>
      </c>
      <c r="D1293" s="1" t="s">
        <v>141</v>
      </c>
      <c r="E1293" s="1">
        <v>2</v>
      </c>
      <c r="F1293" s="1" t="s">
        <v>145</v>
      </c>
      <c r="G1293" s="1">
        <v>52</v>
      </c>
      <c r="H1293" s="1">
        <v>1.2</v>
      </c>
    </row>
    <row r="1294" spans="1:8">
      <c r="A1294" s="1" t="s">
        <v>70</v>
      </c>
      <c r="B1294" s="4">
        <v>40729</v>
      </c>
      <c r="C1294" s="1" t="s">
        <v>171</v>
      </c>
      <c r="D1294" s="1" t="s">
        <v>141</v>
      </c>
      <c r="E1294" s="1">
        <v>2</v>
      </c>
      <c r="F1294" s="1" t="s">
        <v>145</v>
      </c>
      <c r="G1294" s="1">
        <v>65</v>
      </c>
      <c r="H1294" s="1">
        <v>2</v>
      </c>
    </row>
    <row r="1295" spans="1:8">
      <c r="A1295" s="1" t="s">
        <v>70</v>
      </c>
      <c r="B1295" s="4">
        <v>40729</v>
      </c>
      <c r="C1295" s="1" t="s">
        <v>171</v>
      </c>
      <c r="D1295" s="1" t="s">
        <v>147</v>
      </c>
      <c r="E1295" s="1">
        <v>1</v>
      </c>
      <c r="F1295" s="1" t="s">
        <v>145</v>
      </c>
      <c r="G1295" s="1">
        <v>69</v>
      </c>
      <c r="H1295" s="1">
        <v>3.4</v>
      </c>
    </row>
    <row r="1296" spans="1:8">
      <c r="A1296" s="1" t="s">
        <v>70</v>
      </c>
      <c r="B1296" s="4">
        <v>40729</v>
      </c>
      <c r="C1296" s="1" t="s">
        <v>171</v>
      </c>
      <c r="D1296" s="1" t="s">
        <v>147</v>
      </c>
      <c r="E1296" s="1">
        <v>1</v>
      </c>
      <c r="F1296" s="1" t="s">
        <v>145</v>
      </c>
      <c r="G1296" s="1">
        <v>51</v>
      </c>
      <c r="H1296" s="1">
        <v>1</v>
      </c>
    </row>
    <row r="1297" spans="1:8">
      <c r="A1297" s="1" t="s">
        <v>70</v>
      </c>
      <c r="B1297" s="4">
        <v>40729</v>
      </c>
      <c r="C1297" s="1" t="s">
        <v>171</v>
      </c>
      <c r="D1297" s="1" t="s">
        <v>147</v>
      </c>
      <c r="E1297" s="1">
        <v>1</v>
      </c>
      <c r="F1297" s="1" t="s">
        <v>145</v>
      </c>
      <c r="G1297" s="1">
        <v>66</v>
      </c>
      <c r="H1297" s="1">
        <v>2.9</v>
      </c>
    </row>
    <row r="1298" spans="1:8">
      <c r="A1298" s="1" t="s">
        <v>70</v>
      </c>
      <c r="B1298" s="4">
        <v>40729</v>
      </c>
      <c r="C1298" s="1" t="s">
        <v>171</v>
      </c>
      <c r="D1298" s="1" t="s">
        <v>147</v>
      </c>
      <c r="E1298" s="1">
        <v>1</v>
      </c>
      <c r="F1298" s="1" t="s">
        <v>145</v>
      </c>
      <c r="G1298" s="1">
        <v>57</v>
      </c>
      <c r="H1298" s="1">
        <v>1.8</v>
      </c>
    </row>
    <row r="1299" spans="1:8">
      <c r="A1299" s="1" t="s">
        <v>70</v>
      </c>
      <c r="B1299" s="4">
        <v>40729</v>
      </c>
      <c r="C1299" s="1" t="s">
        <v>171</v>
      </c>
      <c r="D1299" s="1" t="s">
        <v>147</v>
      </c>
      <c r="E1299" s="1">
        <v>1</v>
      </c>
      <c r="F1299" s="1" t="s">
        <v>145</v>
      </c>
      <c r="G1299" s="1">
        <v>73</v>
      </c>
      <c r="H1299" s="1">
        <v>4</v>
      </c>
    </row>
    <row r="1300" spans="1:8">
      <c r="A1300" s="1" t="s">
        <v>70</v>
      </c>
      <c r="B1300" s="4">
        <v>40729</v>
      </c>
      <c r="C1300" s="1" t="s">
        <v>171</v>
      </c>
      <c r="D1300" s="1" t="s">
        <v>147</v>
      </c>
      <c r="E1300" s="1">
        <v>1</v>
      </c>
      <c r="F1300" s="1" t="s">
        <v>145</v>
      </c>
      <c r="G1300" s="1">
        <v>56</v>
      </c>
      <c r="H1300" s="1">
        <v>1</v>
      </c>
    </row>
    <row r="1301" spans="1:8">
      <c r="A1301" s="1" t="s">
        <v>70</v>
      </c>
      <c r="B1301" s="4">
        <v>40729</v>
      </c>
      <c r="C1301" s="1" t="s">
        <v>171</v>
      </c>
      <c r="D1301" s="1" t="s">
        <v>147</v>
      </c>
      <c r="E1301" s="1">
        <v>1</v>
      </c>
      <c r="F1301" s="1" t="s">
        <v>145</v>
      </c>
      <c r="G1301" s="1">
        <v>70</v>
      </c>
      <c r="H1301" s="1">
        <v>3.5</v>
      </c>
    </row>
    <row r="1302" spans="1:8">
      <c r="A1302" s="1" t="s">
        <v>70</v>
      </c>
      <c r="B1302" s="4">
        <v>40729</v>
      </c>
      <c r="C1302" s="1" t="s">
        <v>171</v>
      </c>
      <c r="D1302" s="1" t="s">
        <v>147</v>
      </c>
      <c r="E1302" s="1">
        <v>1</v>
      </c>
      <c r="F1302" s="1" t="s">
        <v>145</v>
      </c>
      <c r="G1302" s="1">
        <v>75</v>
      </c>
      <c r="H1302" s="1">
        <v>5</v>
      </c>
    </row>
    <row r="1303" spans="1:8">
      <c r="A1303" s="1" t="s">
        <v>70</v>
      </c>
      <c r="B1303" s="4">
        <v>40729</v>
      </c>
      <c r="C1303" s="1" t="s">
        <v>171</v>
      </c>
      <c r="D1303" s="1" t="s">
        <v>147</v>
      </c>
      <c r="E1303" s="1">
        <v>1</v>
      </c>
      <c r="F1303" s="1" t="s">
        <v>145</v>
      </c>
      <c r="G1303" s="1">
        <v>66</v>
      </c>
      <c r="H1303" s="1">
        <v>3.2</v>
      </c>
    </row>
    <row r="1304" spans="1:8">
      <c r="A1304" s="1" t="s">
        <v>70</v>
      </c>
      <c r="B1304" s="4">
        <v>40729</v>
      </c>
      <c r="C1304" s="1" t="s">
        <v>171</v>
      </c>
      <c r="D1304" s="1" t="s">
        <v>147</v>
      </c>
      <c r="E1304" s="1">
        <v>1</v>
      </c>
      <c r="F1304" s="1" t="s">
        <v>145</v>
      </c>
      <c r="G1304" s="1">
        <v>62</v>
      </c>
      <c r="H1304" s="1">
        <v>3.5</v>
      </c>
    </row>
    <row r="1305" spans="1:8">
      <c r="A1305" s="1" t="s">
        <v>70</v>
      </c>
      <c r="B1305" s="4">
        <v>40729</v>
      </c>
      <c r="C1305" s="1" t="s">
        <v>171</v>
      </c>
      <c r="D1305" s="1" t="s">
        <v>147</v>
      </c>
      <c r="E1305" s="1">
        <v>1</v>
      </c>
      <c r="F1305" s="1" t="s">
        <v>145</v>
      </c>
      <c r="G1305" s="1">
        <v>65</v>
      </c>
      <c r="H1305" s="1">
        <v>2.5</v>
      </c>
    </row>
    <row r="1306" spans="1:8">
      <c r="A1306" s="1" t="s">
        <v>70</v>
      </c>
      <c r="B1306" s="4">
        <v>40729</v>
      </c>
      <c r="C1306" s="1" t="s">
        <v>171</v>
      </c>
      <c r="D1306" s="1" t="s">
        <v>147</v>
      </c>
      <c r="E1306" s="1">
        <v>1</v>
      </c>
      <c r="F1306" s="1" t="s">
        <v>145</v>
      </c>
      <c r="G1306" s="1">
        <v>67</v>
      </c>
      <c r="H1306" s="1">
        <v>2.5</v>
      </c>
    </row>
    <row r="1307" spans="1:8">
      <c r="A1307" s="1" t="s">
        <v>70</v>
      </c>
      <c r="B1307" s="4">
        <v>40729</v>
      </c>
      <c r="C1307" s="1" t="s">
        <v>171</v>
      </c>
      <c r="D1307" s="1" t="s">
        <v>147</v>
      </c>
      <c r="E1307" s="1">
        <v>1</v>
      </c>
      <c r="F1307" s="1" t="s">
        <v>145</v>
      </c>
      <c r="G1307" s="1">
        <v>67</v>
      </c>
      <c r="H1307" s="1">
        <v>2.7</v>
      </c>
    </row>
    <row r="1308" spans="1:8">
      <c r="A1308" s="1" t="s">
        <v>70</v>
      </c>
      <c r="B1308" s="4">
        <v>40729</v>
      </c>
      <c r="C1308" s="1" t="s">
        <v>171</v>
      </c>
      <c r="D1308" s="1" t="s">
        <v>147</v>
      </c>
      <c r="E1308" s="1">
        <v>1</v>
      </c>
      <c r="F1308" s="1" t="s">
        <v>145</v>
      </c>
      <c r="G1308" s="1">
        <v>65</v>
      </c>
      <c r="H1308" s="1">
        <v>2.5</v>
      </c>
    </row>
    <row r="1309" spans="1:8">
      <c r="A1309" s="1" t="s">
        <v>70</v>
      </c>
      <c r="B1309" s="4">
        <v>40729</v>
      </c>
      <c r="C1309" s="1" t="s">
        <v>171</v>
      </c>
      <c r="D1309" s="1" t="s">
        <v>147</v>
      </c>
      <c r="E1309" s="1">
        <v>1</v>
      </c>
      <c r="F1309" s="1" t="s">
        <v>145</v>
      </c>
      <c r="G1309" s="1">
        <v>55</v>
      </c>
      <c r="H1309" s="1">
        <v>1.5</v>
      </c>
    </row>
    <row r="1310" spans="1:8">
      <c r="A1310" s="1" t="s">
        <v>70</v>
      </c>
      <c r="B1310" s="4">
        <v>40729</v>
      </c>
      <c r="C1310" s="1" t="s">
        <v>171</v>
      </c>
      <c r="D1310" s="1" t="s">
        <v>147</v>
      </c>
      <c r="E1310" s="1">
        <v>1</v>
      </c>
      <c r="F1310" s="1" t="s">
        <v>145</v>
      </c>
      <c r="G1310" s="1">
        <v>55</v>
      </c>
      <c r="H1310" s="1">
        <v>1.5</v>
      </c>
    </row>
    <row r="1311" spans="1:8">
      <c r="A1311" s="1" t="s">
        <v>70</v>
      </c>
      <c r="B1311" s="4">
        <v>40729</v>
      </c>
      <c r="C1311" s="1" t="s">
        <v>171</v>
      </c>
      <c r="D1311" s="1" t="s">
        <v>147</v>
      </c>
      <c r="E1311" s="1">
        <v>1</v>
      </c>
      <c r="F1311" s="1" t="s">
        <v>145</v>
      </c>
      <c r="G1311" s="1">
        <v>55</v>
      </c>
      <c r="H1311" s="1">
        <v>1.5</v>
      </c>
    </row>
    <row r="1312" spans="1:8">
      <c r="A1312" s="1" t="s">
        <v>70</v>
      </c>
      <c r="B1312" s="4">
        <v>40729</v>
      </c>
      <c r="C1312" s="1" t="s">
        <v>171</v>
      </c>
      <c r="D1312" s="1" t="s">
        <v>147</v>
      </c>
      <c r="E1312" s="1">
        <v>1</v>
      </c>
      <c r="F1312" s="1" t="s">
        <v>145</v>
      </c>
      <c r="G1312" s="1">
        <v>57</v>
      </c>
      <c r="H1312" s="1">
        <v>2.1</v>
      </c>
    </row>
    <row r="1313" spans="1:8">
      <c r="A1313" s="1" t="s">
        <v>70</v>
      </c>
      <c r="B1313" s="4">
        <v>40729</v>
      </c>
      <c r="C1313" s="1" t="s">
        <v>171</v>
      </c>
      <c r="D1313" s="1" t="s">
        <v>147</v>
      </c>
      <c r="E1313" s="1">
        <v>1</v>
      </c>
      <c r="F1313" s="1" t="s">
        <v>145</v>
      </c>
      <c r="G1313" s="1">
        <v>70</v>
      </c>
      <c r="H1313" s="1">
        <v>3.5</v>
      </c>
    </row>
    <row r="1314" spans="1:8">
      <c r="A1314" s="1" t="s">
        <v>70</v>
      </c>
      <c r="B1314" s="4">
        <v>40729</v>
      </c>
      <c r="C1314" s="1" t="s">
        <v>171</v>
      </c>
      <c r="D1314" s="1" t="s">
        <v>147</v>
      </c>
      <c r="E1314" s="1">
        <v>1</v>
      </c>
      <c r="F1314" s="1" t="s">
        <v>145</v>
      </c>
      <c r="G1314" s="1">
        <v>90</v>
      </c>
      <c r="H1314" s="1">
        <v>8.5</v>
      </c>
    </row>
    <row r="1315" spans="1:8">
      <c r="A1315" s="1" t="s">
        <v>70</v>
      </c>
      <c r="B1315" s="4">
        <v>40729</v>
      </c>
      <c r="C1315" s="1" t="s">
        <v>171</v>
      </c>
      <c r="D1315" s="1" t="s">
        <v>147</v>
      </c>
      <c r="E1315" s="1">
        <v>1</v>
      </c>
      <c r="F1315" s="1" t="s">
        <v>142</v>
      </c>
      <c r="G1315" s="1">
        <v>65</v>
      </c>
      <c r="H1315" s="1">
        <v>2.7</v>
      </c>
    </row>
    <row r="1316" spans="1:8">
      <c r="A1316" s="1" t="s">
        <v>70</v>
      </c>
      <c r="B1316" s="4">
        <v>40729</v>
      </c>
      <c r="C1316" s="1" t="s">
        <v>171</v>
      </c>
      <c r="D1316" s="1" t="s">
        <v>147</v>
      </c>
      <c r="E1316" s="1">
        <v>1</v>
      </c>
      <c r="F1316" s="1" t="s">
        <v>142</v>
      </c>
      <c r="G1316" s="1">
        <v>50</v>
      </c>
      <c r="H1316" s="1">
        <v>1</v>
      </c>
    </row>
    <row r="1317" spans="1:8">
      <c r="A1317" s="1" t="s">
        <v>70</v>
      </c>
      <c r="B1317" s="4">
        <v>40729</v>
      </c>
      <c r="C1317" s="1" t="s">
        <v>171</v>
      </c>
      <c r="D1317" s="1" t="s">
        <v>147</v>
      </c>
      <c r="E1317" s="1">
        <v>1</v>
      </c>
      <c r="F1317" s="1" t="s">
        <v>142</v>
      </c>
      <c r="G1317" s="1">
        <v>55</v>
      </c>
      <c r="H1317" s="1">
        <v>2.5</v>
      </c>
    </row>
    <row r="1318" spans="1:8">
      <c r="A1318" s="1" t="s">
        <v>70</v>
      </c>
      <c r="B1318" s="4">
        <v>40729</v>
      </c>
      <c r="C1318" s="1" t="s">
        <v>171</v>
      </c>
      <c r="D1318" s="1" t="s">
        <v>147</v>
      </c>
      <c r="E1318" s="1">
        <v>1</v>
      </c>
      <c r="F1318" s="1" t="s">
        <v>142</v>
      </c>
      <c r="G1318" s="1">
        <v>48</v>
      </c>
      <c r="H1318" s="1">
        <v>0.7</v>
      </c>
    </row>
    <row r="1319" spans="1:8">
      <c r="A1319" s="1" t="s">
        <v>70</v>
      </c>
      <c r="B1319" s="4">
        <v>40729</v>
      </c>
      <c r="C1319" s="1" t="s">
        <v>171</v>
      </c>
      <c r="D1319" s="1" t="s">
        <v>147</v>
      </c>
      <c r="E1319" s="1">
        <v>2</v>
      </c>
      <c r="F1319" s="1" t="s">
        <v>145</v>
      </c>
      <c r="G1319" s="1">
        <v>65</v>
      </c>
    </row>
    <row r="1320" spans="1:8">
      <c r="A1320" s="1" t="s">
        <v>70</v>
      </c>
      <c r="B1320" s="4">
        <v>40729</v>
      </c>
      <c r="C1320" s="1" t="s">
        <v>171</v>
      </c>
      <c r="D1320" s="1" t="s">
        <v>147</v>
      </c>
      <c r="E1320" s="1">
        <v>2</v>
      </c>
      <c r="F1320" s="1" t="s">
        <v>145</v>
      </c>
      <c r="G1320" s="1">
        <v>65</v>
      </c>
      <c r="H1320" s="1">
        <v>3.2</v>
      </c>
    </row>
    <row r="1321" spans="1:8">
      <c r="A1321" s="1" t="s">
        <v>70</v>
      </c>
      <c r="B1321" s="4">
        <v>40729</v>
      </c>
      <c r="C1321" s="1" t="s">
        <v>171</v>
      </c>
      <c r="D1321" s="1" t="s">
        <v>147</v>
      </c>
      <c r="E1321" s="1">
        <v>2</v>
      </c>
      <c r="F1321" s="1" t="s">
        <v>145</v>
      </c>
      <c r="G1321" s="1">
        <v>54</v>
      </c>
      <c r="H1321" s="1">
        <v>1.4</v>
      </c>
    </row>
    <row r="1322" spans="1:8">
      <c r="A1322" s="1" t="s">
        <v>70</v>
      </c>
      <c r="B1322" s="4">
        <v>40729</v>
      </c>
      <c r="C1322" s="1" t="s">
        <v>171</v>
      </c>
      <c r="D1322" s="1" t="s">
        <v>147</v>
      </c>
      <c r="E1322" s="1">
        <v>2</v>
      </c>
      <c r="F1322" s="1" t="s">
        <v>145</v>
      </c>
      <c r="G1322" s="1">
        <v>60</v>
      </c>
      <c r="H1322" s="1">
        <v>2.4</v>
      </c>
    </row>
    <row r="1323" spans="1:8">
      <c r="A1323" s="1" t="s">
        <v>70</v>
      </c>
      <c r="B1323" s="4">
        <v>40729</v>
      </c>
      <c r="C1323" s="1" t="s">
        <v>171</v>
      </c>
      <c r="D1323" s="1" t="s">
        <v>150</v>
      </c>
      <c r="E1323" s="1">
        <v>1</v>
      </c>
      <c r="F1323" s="1" t="s">
        <v>145</v>
      </c>
      <c r="G1323" s="1">
        <v>60</v>
      </c>
      <c r="H1323" s="1">
        <v>2</v>
      </c>
    </row>
    <row r="1324" spans="1:8">
      <c r="A1324" s="1" t="s">
        <v>70</v>
      </c>
      <c r="B1324" s="4">
        <v>40729</v>
      </c>
      <c r="C1324" s="1" t="s">
        <v>171</v>
      </c>
      <c r="D1324" s="1" t="s">
        <v>150</v>
      </c>
      <c r="E1324" s="1">
        <v>1</v>
      </c>
      <c r="F1324" s="1" t="s">
        <v>145</v>
      </c>
      <c r="G1324" s="1">
        <v>58</v>
      </c>
      <c r="H1324" s="1">
        <v>2.1</v>
      </c>
    </row>
    <row r="1325" spans="1:8">
      <c r="A1325" s="1" t="s">
        <v>70</v>
      </c>
      <c r="B1325" s="4">
        <v>40729</v>
      </c>
      <c r="C1325" s="1" t="s">
        <v>171</v>
      </c>
      <c r="D1325" s="1" t="s">
        <v>150</v>
      </c>
      <c r="E1325" s="1">
        <v>1</v>
      </c>
      <c r="F1325" s="1" t="s">
        <v>145</v>
      </c>
      <c r="G1325" s="1">
        <v>55</v>
      </c>
      <c r="H1325" s="1">
        <v>1.7</v>
      </c>
    </row>
    <row r="1326" spans="1:8">
      <c r="A1326" s="1" t="s">
        <v>70</v>
      </c>
      <c r="B1326" s="4">
        <v>40729</v>
      </c>
      <c r="C1326" s="1" t="s">
        <v>171</v>
      </c>
      <c r="D1326" s="1" t="s">
        <v>150</v>
      </c>
      <c r="E1326" s="1">
        <v>1</v>
      </c>
      <c r="F1326" s="1" t="s">
        <v>145</v>
      </c>
      <c r="G1326" s="1">
        <v>57</v>
      </c>
      <c r="H1326" s="1">
        <v>2.2000000000000002</v>
      </c>
    </row>
    <row r="1327" spans="1:8">
      <c r="A1327" s="1" t="s">
        <v>70</v>
      </c>
      <c r="B1327" s="4">
        <v>40729</v>
      </c>
      <c r="C1327" s="1" t="s">
        <v>171</v>
      </c>
      <c r="D1327" s="1" t="s">
        <v>150</v>
      </c>
      <c r="E1327" s="1">
        <v>1</v>
      </c>
      <c r="F1327" s="1" t="s">
        <v>145</v>
      </c>
      <c r="G1327" s="1">
        <v>74</v>
      </c>
      <c r="H1327" s="1">
        <v>4</v>
      </c>
    </row>
    <row r="1328" spans="1:8">
      <c r="A1328" s="1" t="s">
        <v>70</v>
      </c>
      <c r="B1328" s="4">
        <v>40729</v>
      </c>
      <c r="C1328" s="1" t="s">
        <v>171</v>
      </c>
      <c r="D1328" s="1" t="s">
        <v>150</v>
      </c>
      <c r="E1328" s="1">
        <v>1</v>
      </c>
      <c r="F1328" s="1" t="s">
        <v>145</v>
      </c>
      <c r="G1328" s="1">
        <v>55</v>
      </c>
      <c r="H1328" s="1">
        <v>1.8</v>
      </c>
    </row>
    <row r="1329" spans="1:8">
      <c r="A1329" s="1" t="s">
        <v>70</v>
      </c>
      <c r="B1329" s="4">
        <v>40729</v>
      </c>
      <c r="C1329" s="1" t="s">
        <v>171</v>
      </c>
      <c r="D1329" s="1" t="s">
        <v>150</v>
      </c>
      <c r="E1329" s="1">
        <v>1</v>
      </c>
      <c r="F1329" s="1" t="s">
        <v>145</v>
      </c>
      <c r="G1329" s="1">
        <v>114</v>
      </c>
    </row>
    <row r="1330" spans="1:8">
      <c r="A1330" s="1" t="s">
        <v>70</v>
      </c>
      <c r="B1330" s="4">
        <v>40729</v>
      </c>
      <c r="C1330" s="1" t="s">
        <v>171</v>
      </c>
      <c r="D1330" s="1" t="s">
        <v>150</v>
      </c>
      <c r="E1330" s="1">
        <v>1</v>
      </c>
      <c r="F1330" s="1" t="s">
        <v>145</v>
      </c>
      <c r="G1330" s="1">
        <v>85</v>
      </c>
      <c r="H1330" s="1">
        <v>3.5</v>
      </c>
    </row>
    <row r="1331" spans="1:8">
      <c r="A1331" s="1" t="s">
        <v>70</v>
      </c>
      <c r="B1331" s="4">
        <v>40729</v>
      </c>
      <c r="C1331" s="1" t="s">
        <v>171</v>
      </c>
      <c r="D1331" s="1" t="s">
        <v>150</v>
      </c>
      <c r="E1331" s="1">
        <v>1</v>
      </c>
      <c r="F1331" s="1" t="s">
        <v>145</v>
      </c>
      <c r="G1331" s="1">
        <v>55</v>
      </c>
      <c r="H1331" s="1">
        <v>1.4</v>
      </c>
    </row>
    <row r="1332" spans="1:8">
      <c r="A1332" s="1" t="s">
        <v>70</v>
      </c>
      <c r="B1332" s="4">
        <v>40729</v>
      </c>
      <c r="C1332" s="1" t="s">
        <v>171</v>
      </c>
      <c r="D1332" s="1" t="s">
        <v>150</v>
      </c>
      <c r="E1332" s="1">
        <v>1</v>
      </c>
      <c r="F1332" s="1" t="s">
        <v>145</v>
      </c>
      <c r="G1332" s="1">
        <v>55</v>
      </c>
      <c r="H1332" s="1">
        <v>2</v>
      </c>
    </row>
    <row r="1333" spans="1:8">
      <c r="A1333" s="1" t="s">
        <v>70</v>
      </c>
      <c r="B1333" s="4">
        <v>40729</v>
      </c>
      <c r="C1333" s="1" t="s">
        <v>171</v>
      </c>
      <c r="D1333" s="1" t="s">
        <v>150</v>
      </c>
      <c r="E1333" s="1">
        <v>1</v>
      </c>
      <c r="F1333" s="1" t="s">
        <v>145</v>
      </c>
      <c r="G1333" s="1">
        <v>64</v>
      </c>
      <c r="H1333" s="1">
        <v>3</v>
      </c>
    </row>
    <row r="1334" spans="1:8">
      <c r="A1334" s="1" t="s">
        <v>70</v>
      </c>
      <c r="B1334" s="4">
        <v>40729</v>
      </c>
      <c r="C1334" s="1" t="s">
        <v>171</v>
      </c>
      <c r="D1334" s="1" t="s">
        <v>150</v>
      </c>
      <c r="E1334" s="1">
        <v>1</v>
      </c>
      <c r="F1334" s="1" t="s">
        <v>145</v>
      </c>
      <c r="G1334" s="1">
        <v>49</v>
      </c>
      <c r="H1334" s="1">
        <v>1.2</v>
      </c>
    </row>
    <row r="1335" spans="1:8">
      <c r="A1335" s="1" t="s">
        <v>70</v>
      </c>
      <c r="B1335" s="4">
        <v>40729</v>
      </c>
      <c r="C1335" s="1" t="s">
        <v>171</v>
      </c>
      <c r="D1335" s="1" t="s">
        <v>150</v>
      </c>
      <c r="E1335" s="1">
        <v>1</v>
      </c>
      <c r="F1335" s="1" t="s">
        <v>142</v>
      </c>
      <c r="G1335" s="1">
        <v>58</v>
      </c>
      <c r="H1335" s="1">
        <v>2.2999999999999998</v>
      </c>
    </row>
    <row r="1336" spans="1:8">
      <c r="A1336" s="1" t="s">
        <v>70</v>
      </c>
      <c r="B1336" s="4">
        <v>40729</v>
      </c>
      <c r="C1336" s="1" t="s">
        <v>171</v>
      </c>
      <c r="D1336" s="1" t="s">
        <v>150</v>
      </c>
      <c r="E1336" s="1">
        <v>1</v>
      </c>
      <c r="F1336" s="1" t="s">
        <v>142</v>
      </c>
      <c r="G1336" s="1">
        <v>30</v>
      </c>
      <c r="H1336" s="1">
        <v>2.5</v>
      </c>
    </row>
    <row r="1337" spans="1:8">
      <c r="A1337" s="1" t="s">
        <v>70</v>
      </c>
      <c r="B1337" s="4">
        <v>40729</v>
      </c>
      <c r="C1337" s="1" t="s">
        <v>171</v>
      </c>
      <c r="D1337" s="1" t="s">
        <v>150</v>
      </c>
      <c r="E1337" s="1">
        <v>1</v>
      </c>
      <c r="F1337" s="1" t="s">
        <v>142</v>
      </c>
      <c r="G1337" s="1">
        <v>55</v>
      </c>
      <c r="H1337" s="1">
        <v>2.8</v>
      </c>
    </row>
    <row r="1338" spans="1:8">
      <c r="A1338" s="1" t="s">
        <v>70</v>
      </c>
      <c r="B1338" s="4">
        <v>40729</v>
      </c>
      <c r="C1338" s="1" t="s">
        <v>171</v>
      </c>
      <c r="D1338" s="1" t="s">
        <v>150</v>
      </c>
      <c r="E1338" s="1">
        <v>2</v>
      </c>
      <c r="F1338" s="1" t="s">
        <v>142</v>
      </c>
      <c r="G1338" s="1">
        <v>58</v>
      </c>
      <c r="H1338" s="1">
        <v>1.9</v>
      </c>
    </row>
    <row r="1339" spans="1:8">
      <c r="A1339" s="1" t="s">
        <v>70</v>
      </c>
      <c r="B1339" s="4">
        <v>40729</v>
      </c>
      <c r="C1339" s="1" t="s">
        <v>171</v>
      </c>
      <c r="D1339" s="1" t="s">
        <v>150</v>
      </c>
      <c r="E1339" s="1">
        <v>2</v>
      </c>
      <c r="F1339" s="1" t="s">
        <v>142</v>
      </c>
      <c r="G1339" s="1">
        <v>64</v>
      </c>
      <c r="H1339" s="1">
        <v>2.8</v>
      </c>
    </row>
    <row r="1340" spans="1:8">
      <c r="A1340" s="1" t="s">
        <v>70</v>
      </c>
      <c r="B1340" s="4">
        <v>40729</v>
      </c>
      <c r="C1340" s="1" t="s">
        <v>171</v>
      </c>
      <c r="D1340" s="1" t="s">
        <v>150</v>
      </c>
      <c r="E1340" s="1">
        <v>2</v>
      </c>
      <c r="F1340" s="1" t="s">
        <v>145</v>
      </c>
      <c r="G1340" s="1">
        <v>64</v>
      </c>
      <c r="H1340" s="1">
        <v>2.2999999999999998</v>
      </c>
    </row>
    <row r="1341" spans="1:8">
      <c r="A1341" s="1" t="s">
        <v>70</v>
      </c>
      <c r="B1341" s="4">
        <v>40729</v>
      </c>
      <c r="C1341" s="1" t="s">
        <v>171</v>
      </c>
      <c r="D1341" s="1" t="s">
        <v>150</v>
      </c>
      <c r="E1341" s="1">
        <v>2</v>
      </c>
      <c r="F1341" s="1" t="s">
        <v>145</v>
      </c>
      <c r="G1341" s="1">
        <v>62</v>
      </c>
      <c r="H1341" s="1">
        <v>2.6</v>
      </c>
    </row>
    <row r="1342" spans="1:8">
      <c r="A1342" s="1" t="s">
        <v>70</v>
      </c>
      <c r="B1342" s="4">
        <v>40729</v>
      </c>
      <c r="C1342" s="1" t="s">
        <v>171</v>
      </c>
      <c r="D1342" s="1" t="s">
        <v>150</v>
      </c>
      <c r="E1342" s="1">
        <v>2</v>
      </c>
      <c r="F1342" s="1" t="s">
        <v>145</v>
      </c>
      <c r="G1342" s="1">
        <v>60</v>
      </c>
      <c r="H1342" s="1">
        <v>2.4</v>
      </c>
    </row>
    <row r="1343" spans="1:8">
      <c r="A1343" s="1" t="s">
        <v>70</v>
      </c>
      <c r="B1343" s="4">
        <v>40729</v>
      </c>
      <c r="C1343" s="1" t="s">
        <v>171</v>
      </c>
      <c r="D1343" s="1" t="s">
        <v>150</v>
      </c>
      <c r="E1343" s="1">
        <v>2</v>
      </c>
      <c r="F1343" s="1" t="s">
        <v>145</v>
      </c>
      <c r="G1343" s="1">
        <v>60</v>
      </c>
      <c r="H1343" s="1">
        <v>2.2000000000000002</v>
      </c>
    </row>
    <row r="1344" spans="1:8">
      <c r="A1344" s="1" t="s">
        <v>70</v>
      </c>
      <c r="B1344" s="4">
        <v>40729</v>
      </c>
      <c r="C1344" s="1" t="s">
        <v>171</v>
      </c>
      <c r="D1344" s="1" t="s">
        <v>150</v>
      </c>
      <c r="E1344" s="1">
        <v>2</v>
      </c>
      <c r="F1344" s="1" t="s">
        <v>145</v>
      </c>
      <c r="G1344" s="1">
        <v>59</v>
      </c>
      <c r="H1344" s="1">
        <v>2.1</v>
      </c>
    </row>
    <row r="1345" spans="1:8">
      <c r="A1345" s="1" t="s">
        <v>76</v>
      </c>
      <c r="B1345" s="4">
        <v>40736</v>
      </c>
      <c r="C1345" s="1" t="s">
        <v>182</v>
      </c>
      <c r="D1345" s="1" t="s">
        <v>141</v>
      </c>
      <c r="E1345" s="1">
        <v>1</v>
      </c>
      <c r="F1345" s="1" t="s">
        <v>145</v>
      </c>
      <c r="G1345" s="1">
        <v>76</v>
      </c>
      <c r="H1345" s="1">
        <v>7.6</v>
      </c>
    </row>
    <row r="1346" spans="1:8">
      <c r="A1346" s="1" t="s">
        <v>76</v>
      </c>
      <c r="B1346" s="4">
        <v>40736</v>
      </c>
      <c r="C1346" s="1" t="s">
        <v>182</v>
      </c>
      <c r="D1346" s="1" t="s">
        <v>141</v>
      </c>
      <c r="E1346" s="1">
        <v>1</v>
      </c>
      <c r="F1346" s="1" t="s">
        <v>145</v>
      </c>
      <c r="G1346" s="1">
        <v>81</v>
      </c>
      <c r="H1346" s="1">
        <v>4</v>
      </c>
    </row>
    <row r="1347" spans="1:8">
      <c r="A1347" s="1" t="s">
        <v>76</v>
      </c>
      <c r="B1347" s="4">
        <v>40736</v>
      </c>
      <c r="C1347" s="1" t="s">
        <v>182</v>
      </c>
      <c r="D1347" s="1" t="s">
        <v>141</v>
      </c>
      <c r="E1347" s="1">
        <v>1</v>
      </c>
      <c r="F1347" s="1" t="s">
        <v>145</v>
      </c>
      <c r="G1347" s="1">
        <v>68</v>
      </c>
      <c r="H1347" s="1">
        <v>3.9</v>
      </c>
    </row>
    <row r="1348" spans="1:8">
      <c r="A1348" s="1" t="s">
        <v>76</v>
      </c>
      <c r="B1348" s="4">
        <v>40736</v>
      </c>
      <c r="C1348" s="1" t="s">
        <v>182</v>
      </c>
      <c r="D1348" s="1" t="s">
        <v>141</v>
      </c>
      <c r="E1348" s="1">
        <v>1</v>
      </c>
      <c r="F1348" s="1" t="s">
        <v>145</v>
      </c>
      <c r="G1348" s="1">
        <v>60</v>
      </c>
      <c r="H1348" s="1">
        <v>2.6</v>
      </c>
    </row>
    <row r="1349" spans="1:8">
      <c r="A1349" s="1" t="s">
        <v>76</v>
      </c>
      <c r="B1349" s="4">
        <v>40736</v>
      </c>
      <c r="C1349" s="1" t="s">
        <v>182</v>
      </c>
      <c r="D1349" s="1" t="s">
        <v>141</v>
      </c>
      <c r="E1349" s="1">
        <v>1</v>
      </c>
      <c r="F1349" s="1" t="s">
        <v>145</v>
      </c>
      <c r="G1349" s="1">
        <v>62</v>
      </c>
      <c r="H1349" s="1">
        <v>2.1</v>
      </c>
    </row>
    <row r="1350" spans="1:8">
      <c r="A1350" s="1" t="s">
        <v>76</v>
      </c>
      <c r="B1350" s="4">
        <v>40736</v>
      </c>
      <c r="C1350" s="1" t="s">
        <v>182</v>
      </c>
      <c r="D1350" s="1" t="s">
        <v>141</v>
      </c>
      <c r="E1350" s="1">
        <v>1</v>
      </c>
      <c r="F1350" s="1" t="s">
        <v>145</v>
      </c>
      <c r="G1350" s="1">
        <v>60</v>
      </c>
      <c r="H1350" s="1">
        <v>1.6</v>
      </c>
    </row>
    <row r="1351" spans="1:8">
      <c r="A1351" s="1" t="s">
        <v>76</v>
      </c>
      <c r="B1351" s="4">
        <v>40736</v>
      </c>
      <c r="C1351" s="1" t="s">
        <v>182</v>
      </c>
      <c r="D1351" s="1" t="s">
        <v>141</v>
      </c>
      <c r="E1351" s="1">
        <v>1</v>
      </c>
      <c r="F1351" s="1" t="s">
        <v>145</v>
      </c>
      <c r="G1351" s="1">
        <v>112</v>
      </c>
      <c r="H1351" s="1">
        <v>11</v>
      </c>
    </row>
    <row r="1352" spans="1:8">
      <c r="A1352" s="1" t="s">
        <v>76</v>
      </c>
      <c r="B1352" s="4">
        <v>40736</v>
      </c>
      <c r="C1352" s="1" t="s">
        <v>182</v>
      </c>
      <c r="D1352" s="1" t="s">
        <v>141</v>
      </c>
      <c r="E1352" s="1">
        <v>1</v>
      </c>
      <c r="F1352" s="1" t="s">
        <v>145</v>
      </c>
      <c r="G1352" s="1">
        <v>59</v>
      </c>
      <c r="H1352" s="1">
        <v>1.9</v>
      </c>
    </row>
    <row r="1353" spans="1:8">
      <c r="A1353" s="1" t="s">
        <v>76</v>
      </c>
      <c r="B1353" s="4">
        <v>40736</v>
      </c>
      <c r="C1353" s="1" t="s">
        <v>182</v>
      </c>
      <c r="D1353" s="1" t="s">
        <v>141</v>
      </c>
      <c r="E1353" s="1">
        <v>2</v>
      </c>
      <c r="F1353" s="1" t="s">
        <v>145</v>
      </c>
      <c r="G1353" s="1">
        <v>102</v>
      </c>
      <c r="H1353" s="1">
        <v>8.1999999999999993</v>
      </c>
    </row>
    <row r="1354" spans="1:8">
      <c r="A1354" s="1" t="s">
        <v>76</v>
      </c>
      <c r="B1354" s="4">
        <v>40736</v>
      </c>
      <c r="C1354" s="1" t="s">
        <v>182</v>
      </c>
      <c r="D1354" s="1" t="s">
        <v>141</v>
      </c>
      <c r="E1354" s="1">
        <v>2</v>
      </c>
      <c r="F1354" s="1" t="s">
        <v>145</v>
      </c>
      <c r="G1354" s="1">
        <v>57</v>
      </c>
      <c r="H1354" s="1">
        <v>2.1</v>
      </c>
    </row>
    <row r="1355" spans="1:8">
      <c r="A1355" s="1" t="s">
        <v>76</v>
      </c>
      <c r="B1355" s="4">
        <v>40736</v>
      </c>
      <c r="C1355" s="1" t="s">
        <v>182</v>
      </c>
      <c r="D1355" s="1" t="s">
        <v>141</v>
      </c>
      <c r="E1355" s="1">
        <v>2</v>
      </c>
      <c r="F1355" s="1" t="s">
        <v>142</v>
      </c>
      <c r="G1355" s="1">
        <v>6.7</v>
      </c>
      <c r="H1355" s="1">
        <v>2.6</v>
      </c>
    </row>
    <row r="1356" spans="1:8">
      <c r="A1356" s="1" t="s">
        <v>76</v>
      </c>
      <c r="B1356" s="4">
        <v>40736</v>
      </c>
      <c r="C1356" s="1" t="s">
        <v>182</v>
      </c>
      <c r="D1356" s="1" t="s">
        <v>141</v>
      </c>
      <c r="E1356" s="1">
        <v>2</v>
      </c>
      <c r="F1356" s="1" t="s">
        <v>146</v>
      </c>
      <c r="G1356" s="1">
        <v>41</v>
      </c>
      <c r="H1356" s="1">
        <v>0.3</v>
      </c>
    </row>
    <row r="1357" spans="1:8">
      <c r="A1357" s="1" t="s">
        <v>76</v>
      </c>
      <c r="B1357" s="4">
        <v>40736</v>
      </c>
      <c r="C1357" s="1" t="s">
        <v>182</v>
      </c>
      <c r="D1357" s="1" t="s">
        <v>147</v>
      </c>
      <c r="E1357" s="1">
        <v>1</v>
      </c>
      <c r="F1357" s="1" t="s">
        <v>142</v>
      </c>
      <c r="G1357" s="1">
        <v>69</v>
      </c>
      <c r="H1357" s="1">
        <v>2.2999999999999998</v>
      </c>
    </row>
    <row r="1358" spans="1:8">
      <c r="A1358" s="1" t="s">
        <v>76</v>
      </c>
      <c r="B1358" s="4">
        <v>40736</v>
      </c>
      <c r="C1358" s="1" t="s">
        <v>182</v>
      </c>
      <c r="D1358" s="1" t="s">
        <v>147</v>
      </c>
      <c r="E1358" s="1">
        <v>1</v>
      </c>
      <c r="F1358" s="1" t="s">
        <v>142</v>
      </c>
      <c r="G1358" s="1">
        <v>63</v>
      </c>
      <c r="H1358" s="1">
        <v>2.4</v>
      </c>
    </row>
    <row r="1359" spans="1:8">
      <c r="A1359" s="1" t="s">
        <v>76</v>
      </c>
      <c r="B1359" s="4">
        <v>40736</v>
      </c>
      <c r="C1359" s="1" t="s">
        <v>182</v>
      </c>
      <c r="D1359" s="1" t="s">
        <v>147</v>
      </c>
      <c r="E1359" s="1">
        <v>1</v>
      </c>
      <c r="F1359" s="1" t="s">
        <v>142</v>
      </c>
      <c r="G1359" s="1">
        <v>75</v>
      </c>
      <c r="H1359" s="1">
        <v>3.8</v>
      </c>
    </row>
    <row r="1360" spans="1:8">
      <c r="A1360" s="1" t="s">
        <v>76</v>
      </c>
      <c r="B1360" s="4">
        <v>40736</v>
      </c>
      <c r="C1360" s="1" t="s">
        <v>182</v>
      </c>
      <c r="D1360" s="1" t="s">
        <v>147</v>
      </c>
      <c r="E1360" s="1">
        <v>1</v>
      </c>
      <c r="F1360" s="1" t="s">
        <v>142</v>
      </c>
      <c r="G1360" s="1">
        <v>72</v>
      </c>
      <c r="H1360" s="1">
        <v>3.3</v>
      </c>
    </row>
    <row r="1361" spans="1:8">
      <c r="A1361" s="1" t="s">
        <v>76</v>
      </c>
      <c r="B1361" s="4">
        <v>40736</v>
      </c>
      <c r="C1361" s="1" t="s">
        <v>182</v>
      </c>
      <c r="D1361" s="1" t="s">
        <v>147</v>
      </c>
      <c r="E1361" s="1">
        <v>1</v>
      </c>
      <c r="F1361" s="1" t="s">
        <v>142</v>
      </c>
      <c r="G1361" s="1">
        <v>71</v>
      </c>
      <c r="H1361" s="1">
        <v>3.2</v>
      </c>
    </row>
    <row r="1362" spans="1:8">
      <c r="A1362" s="1" t="s">
        <v>76</v>
      </c>
      <c r="B1362" s="4">
        <v>40736</v>
      </c>
      <c r="C1362" s="1" t="s">
        <v>182</v>
      </c>
      <c r="D1362" s="1" t="s">
        <v>147</v>
      </c>
      <c r="E1362" s="1">
        <v>1</v>
      </c>
      <c r="F1362" s="1" t="s">
        <v>142</v>
      </c>
      <c r="G1362" s="1">
        <v>70</v>
      </c>
      <c r="H1362" s="1">
        <v>3.3</v>
      </c>
    </row>
    <row r="1363" spans="1:8">
      <c r="A1363" s="1" t="s">
        <v>76</v>
      </c>
      <c r="B1363" s="4">
        <v>40736</v>
      </c>
      <c r="C1363" s="1" t="s">
        <v>182</v>
      </c>
      <c r="D1363" s="1" t="s">
        <v>147</v>
      </c>
      <c r="E1363" s="1">
        <v>1</v>
      </c>
      <c r="F1363" s="1" t="s">
        <v>142</v>
      </c>
      <c r="G1363" s="1">
        <v>75</v>
      </c>
      <c r="H1363" s="1">
        <v>4</v>
      </c>
    </row>
    <row r="1364" spans="1:8">
      <c r="A1364" s="1" t="s">
        <v>76</v>
      </c>
      <c r="B1364" s="4">
        <v>40736</v>
      </c>
      <c r="C1364" s="1" t="s">
        <v>182</v>
      </c>
      <c r="D1364" s="1" t="s">
        <v>147</v>
      </c>
      <c r="E1364" s="1">
        <v>1</v>
      </c>
      <c r="F1364" s="1" t="s">
        <v>142</v>
      </c>
      <c r="G1364" s="1">
        <v>87</v>
      </c>
      <c r="H1364" s="1">
        <v>7.5</v>
      </c>
    </row>
    <row r="1365" spans="1:8">
      <c r="A1365" s="1" t="s">
        <v>76</v>
      </c>
      <c r="B1365" s="4">
        <v>40736</v>
      </c>
      <c r="C1365" s="1" t="s">
        <v>182</v>
      </c>
      <c r="D1365" s="1" t="s">
        <v>147</v>
      </c>
      <c r="E1365" s="1">
        <v>1</v>
      </c>
      <c r="F1365" s="1" t="s">
        <v>142</v>
      </c>
      <c r="G1365" s="1">
        <v>67</v>
      </c>
      <c r="H1365" s="1">
        <v>0.7</v>
      </c>
    </row>
    <row r="1366" spans="1:8">
      <c r="A1366" s="1" t="s">
        <v>76</v>
      </c>
      <c r="B1366" s="4">
        <v>40736</v>
      </c>
      <c r="C1366" s="1" t="s">
        <v>182</v>
      </c>
      <c r="D1366" s="1" t="s">
        <v>147</v>
      </c>
      <c r="E1366" s="1">
        <v>1</v>
      </c>
      <c r="F1366" s="1" t="s">
        <v>142</v>
      </c>
      <c r="G1366" s="1">
        <v>69</v>
      </c>
      <c r="H1366" s="1">
        <v>2.5</v>
      </c>
    </row>
    <row r="1367" spans="1:8">
      <c r="A1367" s="1" t="s">
        <v>76</v>
      </c>
      <c r="B1367" s="4">
        <v>40736</v>
      </c>
      <c r="C1367" s="1" t="s">
        <v>182</v>
      </c>
      <c r="D1367" s="1" t="s">
        <v>147</v>
      </c>
      <c r="E1367" s="1">
        <v>1</v>
      </c>
      <c r="F1367" s="1" t="s">
        <v>145</v>
      </c>
      <c r="G1367" s="1">
        <v>57</v>
      </c>
      <c r="H1367" s="1">
        <v>1.5</v>
      </c>
    </row>
    <row r="1368" spans="1:8">
      <c r="A1368" s="1" t="s">
        <v>76</v>
      </c>
      <c r="B1368" s="4">
        <v>40736</v>
      </c>
      <c r="C1368" s="1" t="s">
        <v>182</v>
      </c>
      <c r="D1368" s="1" t="s">
        <v>147</v>
      </c>
      <c r="E1368" s="1">
        <v>1</v>
      </c>
      <c r="F1368" s="1" t="s">
        <v>145</v>
      </c>
      <c r="G1368" s="1">
        <v>57</v>
      </c>
      <c r="H1368" s="1">
        <v>1.3</v>
      </c>
    </row>
    <row r="1369" spans="1:8">
      <c r="A1369" s="1" t="s">
        <v>76</v>
      </c>
      <c r="B1369" s="4">
        <v>40736</v>
      </c>
      <c r="C1369" s="1" t="s">
        <v>182</v>
      </c>
      <c r="D1369" s="1" t="s">
        <v>147</v>
      </c>
      <c r="E1369" s="1">
        <v>1</v>
      </c>
      <c r="F1369" s="1" t="s">
        <v>145</v>
      </c>
      <c r="G1369" s="1">
        <v>60</v>
      </c>
      <c r="H1369" s="1">
        <v>1.6</v>
      </c>
    </row>
    <row r="1370" spans="1:8">
      <c r="A1370" s="1" t="s">
        <v>76</v>
      </c>
      <c r="B1370" s="4">
        <v>40736</v>
      </c>
      <c r="C1370" s="1" t="s">
        <v>182</v>
      </c>
      <c r="D1370" s="1" t="s">
        <v>147</v>
      </c>
      <c r="E1370" s="1">
        <v>2</v>
      </c>
      <c r="F1370" s="1" t="s">
        <v>145</v>
      </c>
      <c r="G1370" s="1">
        <v>77</v>
      </c>
      <c r="H1370" s="1">
        <v>3.8</v>
      </c>
    </row>
    <row r="1371" spans="1:8">
      <c r="A1371" s="1" t="s">
        <v>76</v>
      </c>
      <c r="B1371" s="4">
        <v>40736</v>
      </c>
      <c r="C1371" s="1" t="s">
        <v>182</v>
      </c>
      <c r="D1371" s="1" t="s">
        <v>147</v>
      </c>
      <c r="E1371" s="1">
        <v>2</v>
      </c>
      <c r="F1371" s="1" t="s">
        <v>142</v>
      </c>
      <c r="G1371" s="1">
        <v>64</v>
      </c>
      <c r="H1371" s="1">
        <v>2.1</v>
      </c>
    </row>
    <row r="1372" spans="1:8">
      <c r="A1372" s="1" t="s">
        <v>76</v>
      </c>
      <c r="B1372" s="4">
        <v>40736</v>
      </c>
      <c r="C1372" s="1" t="s">
        <v>182</v>
      </c>
      <c r="D1372" s="1" t="s">
        <v>147</v>
      </c>
      <c r="E1372" s="1">
        <v>2</v>
      </c>
      <c r="F1372" s="1" t="s">
        <v>142</v>
      </c>
      <c r="G1372" s="1">
        <v>61</v>
      </c>
      <c r="H1372" s="1">
        <v>1.8</v>
      </c>
    </row>
    <row r="1373" spans="1:8">
      <c r="A1373" s="1" t="s">
        <v>76</v>
      </c>
      <c r="B1373" s="4">
        <v>40736</v>
      </c>
      <c r="C1373" s="1" t="s">
        <v>182</v>
      </c>
      <c r="D1373" s="1" t="s">
        <v>147</v>
      </c>
      <c r="E1373" s="1">
        <v>2</v>
      </c>
      <c r="F1373" s="1" t="s">
        <v>142</v>
      </c>
      <c r="G1373" s="1">
        <v>93</v>
      </c>
      <c r="H1373" s="1">
        <v>6.6</v>
      </c>
    </row>
    <row r="1374" spans="1:8">
      <c r="A1374" s="1" t="s">
        <v>76</v>
      </c>
      <c r="B1374" s="4">
        <v>40736</v>
      </c>
      <c r="C1374" s="1" t="s">
        <v>182</v>
      </c>
      <c r="D1374" s="1" t="s">
        <v>147</v>
      </c>
      <c r="E1374" s="1">
        <v>2</v>
      </c>
      <c r="F1374" s="1" t="s">
        <v>146</v>
      </c>
      <c r="G1374" s="1">
        <v>52</v>
      </c>
      <c r="H1374" s="1">
        <v>0.6</v>
      </c>
    </row>
    <row r="1375" spans="1:8">
      <c r="A1375" s="1" t="s">
        <v>76</v>
      </c>
      <c r="B1375" s="4">
        <v>40736</v>
      </c>
      <c r="C1375" s="1" t="s">
        <v>182</v>
      </c>
      <c r="D1375" s="1" t="s">
        <v>150</v>
      </c>
      <c r="E1375" s="1">
        <v>1</v>
      </c>
      <c r="F1375" s="1" t="s">
        <v>142</v>
      </c>
      <c r="G1375" s="1">
        <v>70</v>
      </c>
      <c r="H1375" s="1">
        <v>3.3</v>
      </c>
    </row>
    <row r="1376" spans="1:8">
      <c r="A1376" s="1" t="s">
        <v>76</v>
      </c>
      <c r="B1376" s="4">
        <v>40736</v>
      </c>
      <c r="C1376" s="1" t="s">
        <v>182</v>
      </c>
      <c r="D1376" s="1" t="s">
        <v>150</v>
      </c>
      <c r="E1376" s="1">
        <v>1</v>
      </c>
      <c r="F1376" s="1" t="s">
        <v>142</v>
      </c>
      <c r="G1376" s="1">
        <v>60</v>
      </c>
      <c r="H1376" s="1">
        <v>2.1</v>
      </c>
    </row>
    <row r="1377" spans="1:10">
      <c r="A1377" s="1" t="s">
        <v>76</v>
      </c>
      <c r="B1377" s="4">
        <v>40736</v>
      </c>
      <c r="C1377" s="1" t="s">
        <v>182</v>
      </c>
      <c r="D1377" s="1" t="s">
        <v>150</v>
      </c>
      <c r="E1377" s="1">
        <v>1</v>
      </c>
      <c r="F1377" s="1" t="s">
        <v>142</v>
      </c>
      <c r="G1377" s="1">
        <v>71</v>
      </c>
      <c r="H1377" s="1">
        <v>3.1</v>
      </c>
    </row>
    <row r="1378" spans="1:10">
      <c r="A1378" s="1" t="s">
        <v>76</v>
      </c>
      <c r="B1378" s="4">
        <v>40736</v>
      </c>
      <c r="C1378" s="1" t="s">
        <v>182</v>
      </c>
      <c r="D1378" s="1" t="s">
        <v>150</v>
      </c>
      <c r="E1378" s="1">
        <v>2</v>
      </c>
      <c r="J1378" s="1" t="s">
        <v>183</v>
      </c>
    </row>
    <row r="1379" spans="1:10">
      <c r="A1379" s="1" t="s">
        <v>95</v>
      </c>
      <c r="B1379" s="4">
        <v>40736</v>
      </c>
      <c r="C1379" s="1" t="s">
        <v>184</v>
      </c>
      <c r="D1379" s="1" t="s">
        <v>141</v>
      </c>
      <c r="E1379" s="1">
        <v>1</v>
      </c>
      <c r="F1379" s="1" t="s">
        <v>145</v>
      </c>
      <c r="G1379" s="1">
        <v>52</v>
      </c>
      <c r="H1379" s="1">
        <v>1.6</v>
      </c>
      <c r="J1379" s="1" t="s">
        <v>185</v>
      </c>
    </row>
    <row r="1380" spans="1:10">
      <c r="A1380" s="1" t="s">
        <v>95</v>
      </c>
      <c r="B1380" s="4">
        <v>40736</v>
      </c>
      <c r="C1380" s="1" t="s">
        <v>184</v>
      </c>
      <c r="D1380" s="1" t="s">
        <v>141</v>
      </c>
      <c r="E1380" s="1">
        <v>1</v>
      </c>
      <c r="F1380" s="1" t="s">
        <v>145</v>
      </c>
      <c r="G1380" s="1">
        <v>51</v>
      </c>
      <c r="H1380" s="1">
        <v>1.7</v>
      </c>
    </row>
    <row r="1381" spans="1:10">
      <c r="A1381" s="1" t="s">
        <v>95</v>
      </c>
      <c r="B1381" s="4">
        <v>40736</v>
      </c>
      <c r="C1381" s="1" t="s">
        <v>184</v>
      </c>
      <c r="D1381" s="1" t="s">
        <v>141</v>
      </c>
      <c r="E1381" s="1">
        <v>1</v>
      </c>
      <c r="F1381" s="1" t="s">
        <v>145</v>
      </c>
      <c r="G1381" s="1">
        <v>65</v>
      </c>
      <c r="H1381" s="1">
        <v>2.6</v>
      </c>
    </row>
    <row r="1382" spans="1:10">
      <c r="A1382" s="1" t="s">
        <v>95</v>
      </c>
      <c r="B1382" s="4">
        <v>40736</v>
      </c>
      <c r="C1382" s="1" t="s">
        <v>184</v>
      </c>
      <c r="D1382" s="1" t="s">
        <v>141</v>
      </c>
      <c r="E1382" s="1">
        <v>1</v>
      </c>
      <c r="F1382" s="1" t="s">
        <v>145</v>
      </c>
      <c r="G1382" s="1">
        <v>52</v>
      </c>
      <c r="H1382" s="1">
        <v>1.6</v>
      </c>
    </row>
    <row r="1383" spans="1:10">
      <c r="A1383" s="1" t="s">
        <v>95</v>
      </c>
      <c r="B1383" s="4">
        <v>40736</v>
      </c>
      <c r="C1383" s="1" t="s">
        <v>184</v>
      </c>
      <c r="D1383" s="1" t="s">
        <v>141</v>
      </c>
      <c r="E1383" s="1">
        <v>1</v>
      </c>
      <c r="F1383" s="1" t="s">
        <v>145</v>
      </c>
      <c r="G1383" s="1">
        <v>25</v>
      </c>
    </row>
    <row r="1384" spans="1:10">
      <c r="A1384" s="1" t="s">
        <v>95</v>
      </c>
      <c r="B1384" s="4">
        <v>40736</v>
      </c>
      <c r="C1384" s="1" t="s">
        <v>184</v>
      </c>
      <c r="D1384" s="1" t="s">
        <v>141</v>
      </c>
      <c r="E1384" s="1">
        <v>1</v>
      </c>
      <c r="F1384" s="1" t="s">
        <v>145</v>
      </c>
      <c r="G1384" s="1">
        <v>30</v>
      </c>
    </row>
    <row r="1385" spans="1:10">
      <c r="A1385" s="1" t="s">
        <v>95</v>
      </c>
      <c r="B1385" s="4">
        <v>40736</v>
      </c>
      <c r="C1385" s="1" t="s">
        <v>184</v>
      </c>
      <c r="D1385" s="1" t="s">
        <v>141</v>
      </c>
      <c r="E1385" s="1">
        <v>1</v>
      </c>
      <c r="F1385" s="1" t="s">
        <v>145</v>
      </c>
      <c r="G1385" s="1">
        <v>35</v>
      </c>
    </row>
    <row r="1386" spans="1:10">
      <c r="A1386" s="1" t="s">
        <v>95</v>
      </c>
      <c r="B1386" s="4">
        <v>40736</v>
      </c>
      <c r="C1386" s="1" t="s">
        <v>184</v>
      </c>
      <c r="D1386" s="1" t="s">
        <v>141</v>
      </c>
      <c r="E1386" s="1">
        <v>1</v>
      </c>
      <c r="F1386" s="1" t="s">
        <v>145</v>
      </c>
      <c r="G1386" s="1">
        <v>35</v>
      </c>
    </row>
    <row r="1387" spans="1:10">
      <c r="A1387" s="1" t="s">
        <v>95</v>
      </c>
      <c r="B1387" s="4">
        <v>40736</v>
      </c>
      <c r="C1387" s="1" t="s">
        <v>184</v>
      </c>
      <c r="D1387" s="1" t="s">
        <v>141</v>
      </c>
      <c r="E1387" s="1">
        <v>1</v>
      </c>
      <c r="F1387" s="1" t="s">
        <v>145</v>
      </c>
      <c r="G1387" s="1">
        <v>60</v>
      </c>
      <c r="H1387" s="1">
        <v>2.2999999999999998</v>
      </c>
    </row>
    <row r="1388" spans="1:10">
      <c r="A1388" s="1" t="s">
        <v>95</v>
      </c>
      <c r="B1388" s="4">
        <v>40736</v>
      </c>
      <c r="C1388" s="1" t="s">
        <v>184</v>
      </c>
      <c r="D1388" s="1" t="s">
        <v>141</v>
      </c>
      <c r="E1388" s="1">
        <v>1</v>
      </c>
      <c r="F1388" s="1" t="s">
        <v>145</v>
      </c>
      <c r="G1388" s="1">
        <v>63</v>
      </c>
      <c r="H1388" s="1">
        <v>2.5</v>
      </c>
    </row>
    <row r="1389" spans="1:10">
      <c r="A1389" s="1" t="s">
        <v>95</v>
      </c>
      <c r="B1389" s="4">
        <v>40736</v>
      </c>
      <c r="C1389" s="1" t="s">
        <v>184</v>
      </c>
      <c r="D1389" s="1" t="s">
        <v>141</v>
      </c>
      <c r="E1389" s="1">
        <v>1</v>
      </c>
      <c r="F1389" s="1" t="s">
        <v>145</v>
      </c>
      <c r="G1389" s="1">
        <v>67</v>
      </c>
      <c r="H1389" s="1">
        <v>3.2</v>
      </c>
    </row>
    <row r="1390" spans="1:10">
      <c r="A1390" s="1" t="s">
        <v>95</v>
      </c>
      <c r="B1390" s="4">
        <v>40736</v>
      </c>
      <c r="C1390" s="1" t="s">
        <v>184</v>
      </c>
      <c r="D1390" s="1" t="s">
        <v>141</v>
      </c>
      <c r="E1390" s="1">
        <v>1</v>
      </c>
      <c r="F1390" s="1" t="s">
        <v>145</v>
      </c>
      <c r="G1390" s="1">
        <v>30</v>
      </c>
      <c r="H1390" s="1">
        <v>1.7</v>
      </c>
    </row>
    <row r="1391" spans="1:10">
      <c r="A1391" s="1" t="s">
        <v>95</v>
      </c>
      <c r="B1391" s="4">
        <v>40736</v>
      </c>
      <c r="C1391" s="1" t="s">
        <v>184</v>
      </c>
      <c r="D1391" s="1" t="s">
        <v>141</v>
      </c>
      <c r="E1391" s="1">
        <v>1</v>
      </c>
      <c r="F1391" s="1" t="s">
        <v>145</v>
      </c>
      <c r="G1391" s="1">
        <v>56</v>
      </c>
      <c r="H1391" s="1">
        <v>1</v>
      </c>
    </row>
    <row r="1392" spans="1:10">
      <c r="A1392" s="1" t="s">
        <v>95</v>
      </c>
      <c r="B1392" s="4">
        <v>40736</v>
      </c>
      <c r="C1392" s="1" t="s">
        <v>184</v>
      </c>
      <c r="D1392" s="1" t="s">
        <v>141</v>
      </c>
      <c r="E1392" s="1">
        <v>1</v>
      </c>
      <c r="F1392" s="1" t="s">
        <v>145</v>
      </c>
      <c r="G1392" s="1">
        <v>50</v>
      </c>
      <c r="H1392" s="1">
        <v>3.8</v>
      </c>
    </row>
    <row r="1393" spans="1:8">
      <c r="A1393" s="1" t="s">
        <v>95</v>
      </c>
      <c r="B1393" s="4">
        <v>40736</v>
      </c>
      <c r="C1393" s="1" t="s">
        <v>184</v>
      </c>
      <c r="D1393" s="1" t="s">
        <v>141</v>
      </c>
      <c r="E1393" s="1">
        <v>1</v>
      </c>
      <c r="F1393" s="1" t="s">
        <v>145</v>
      </c>
      <c r="G1393" s="1">
        <v>80</v>
      </c>
    </row>
    <row r="1394" spans="1:8">
      <c r="A1394" s="1" t="s">
        <v>95</v>
      </c>
      <c r="B1394" s="4">
        <v>40736</v>
      </c>
      <c r="C1394" s="1" t="s">
        <v>184</v>
      </c>
      <c r="D1394" s="1" t="s">
        <v>141</v>
      </c>
      <c r="E1394" s="1">
        <v>1</v>
      </c>
      <c r="F1394" s="1" t="s">
        <v>145</v>
      </c>
      <c r="G1394" s="1">
        <v>30</v>
      </c>
      <c r="H1394" s="1">
        <v>2.6</v>
      </c>
    </row>
    <row r="1395" spans="1:8">
      <c r="A1395" s="1" t="s">
        <v>95</v>
      </c>
      <c r="B1395" s="4">
        <v>40736</v>
      </c>
      <c r="C1395" s="1" t="s">
        <v>184</v>
      </c>
      <c r="D1395" s="1" t="s">
        <v>141</v>
      </c>
      <c r="E1395" s="1">
        <v>1</v>
      </c>
      <c r="F1395" s="1" t="s">
        <v>145</v>
      </c>
      <c r="G1395" s="1">
        <v>121</v>
      </c>
      <c r="H1395" s="1">
        <v>2.4</v>
      </c>
    </row>
    <row r="1396" spans="1:8">
      <c r="A1396" s="1" t="s">
        <v>95</v>
      </c>
      <c r="B1396" s="4">
        <v>40736</v>
      </c>
      <c r="C1396" s="1" t="s">
        <v>184</v>
      </c>
      <c r="D1396" s="1" t="s">
        <v>141</v>
      </c>
      <c r="E1396" s="1">
        <v>1</v>
      </c>
      <c r="F1396" s="1" t="s">
        <v>145</v>
      </c>
      <c r="G1396" s="1">
        <v>64</v>
      </c>
      <c r="H1396" s="1">
        <v>3.9</v>
      </c>
    </row>
    <row r="1397" spans="1:8">
      <c r="A1397" s="1" t="s">
        <v>95</v>
      </c>
      <c r="B1397" s="4">
        <v>40736</v>
      </c>
      <c r="C1397" s="1" t="s">
        <v>184</v>
      </c>
      <c r="D1397" s="1" t="s">
        <v>141</v>
      </c>
      <c r="E1397" s="1">
        <v>1</v>
      </c>
      <c r="F1397" s="1" t="s">
        <v>145</v>
      </c>
      <c r="G1397" s="1">
        <v>75</v>
      </c>
      <c r="H1397" s="1">
        <v>3.2</v>
      </c>
    </row>
    <row r="1398" spans="1:8">
      <c r="A1398" s="1" t="s">
        <v>95</v>
      </c>
      <c r="B1398" s="4">
        <v>40736</v>
      </c>
      <c r="C1398" s="1" t="s">
        <v>184</v>
      </c>
      <c r="D1398" s="1" t="s">
        <v>141</v>
      </c>
      <c r="E1398" s="1">
        <v>1</v>
      </c>
      <c r="F1398" s="1" t="s">
        <v>145</v>
      </c>
      <c r="G1398" s="1">
        <v>66</v>
      </c>
    </row>
    <row r="1399" spans="1:8">
      <c r="A1399" s="1" t="s">
        <v>95</v>
      </c>
      <c r="B1399" s="4">
        <v>40736</v>
      </c>
      <c r="C1399" s="1" t="s">
        <v>184</v>
      </c>
      <c r="D1399" s="1" t="s">
        <v>141</v>
      </c>
      <c r="E1399" s="1">
        <v>1</v>
      </c>
      <c r="F1399" s="1" t="s">
        <v>145</v>
      </c>
      <c r="G1399" s="1">
        <v>29</v>
      </c>
      <c r="H1399" s="1">
        <v>2</v>
      </c>
    </row>
    <row r="1400" spans="1:8">
      <c r="A1400" s="1" t="s">
        <v>95</v>
      </c>
      <c r="B1400" s="4">
        <v>40736</v>
      </c>
      <c r="C1400" s="1" t="s">
        <v>184</v>
      </c>
      <c r="D1400" s="1" t="s">
        <v>141</v>
      </c>
      <c r="E1400" s="1">
        <v>1</v>
      </c>
      <c r="F1400" s="1" t="s">
        <v>145</v>
      </c>
      <c r="G1400" s="1">
        <v>60</v>
      </c>
      <c r="H1400" s="1">
        <v>2.2000000000000002</v>
      </c>
    </row>
    <row r="1401" spans="1:8">
      <c r="A1401" s="1" t="s">
        <v>95</v>
      </c>
      <c r="B1401" s="4">
        <v>40736</v>
      </c>
      <c r="C1401" s="1" t="s">
        <v>184</v>
      </c>
      <c r="D1401" s="1" t="s">
        <v>141</v>
      </c>
      <c r="E1401" s="1">
        <v>1</v>
      </c>
      <c r="F1401" s="1" t="s">
        <v>145</v>
      </c>
      <c r="G1401" s="1">
        <v>58</v>
      </c>
      <c r="H1401" s="1">
        <v>3.6</v>
      </c>
    </row>
    <row r="1402" spans="1:8">
      <c r="A1402" s="1" t="s">
        <v>95</v>
      </c>
      <c r="B1402" s="4">
        <v>40736</v>
      </c>
      <c r="C1402" s="1" t="s">
        <v>184</v>
      </c>
      <c r="D1402" s="1" t="s">
        <v>141</v>
      </c>
      <c r="E1402" s="1">
        <v>1</v>
      </c>
      <c r="F1402" s="1" t="s">
        <v>145</v>
      </c>
      <c r="G1402" s="1">
        <v>7</v>
      </c>
    </row>
    <row r="1403" spans="1:8">
      <c r="A1403" s="1" t="s">
        <v>95</v>
      </c>
      <c r="B1403" s="4">
        <v>40736</v>
      </c>
      <c r="C1403" s="1" t="s">
        <v>184</v>
      </c>
      <c r="D1403" s="1" t="s">
        <v>141</v>
      </c>
      <c r="E1403" s="1">
        <v>1</v>
      </c>
      <c r="F1403" s="1" t="s">
        <v>145</v>
      </c>
      <c r="G1403" s="1">
        <v>30</v>
      </c>
      <c r="H1403" s="1">
        <v>3</v>
      </c>
    </row>
    <row r="1404" spans="1:8">
      <c r="A1404" s="1" t="s">
        <v>95</v>
      </c>
      <c r="B1404" s="4">
        <v>40736</v>
      </c>
      <c r="C1404" s="1" t="s">
        <v>184</v>
      </c>
      <c r="D1404" s="1" t="s">
        <v>141</v>
      </c>
      <c r="E1404" s="1">
        <v>1</v>
      </c>
      <c r="F1404" s="1" t="s">
        <v>145</v>
      </c>
      <c r="G1404" s="1">
        <v>61</v>
      </c>
    </row>
    <row r="1405" spans="1:8">
      <c r="A1405" s="1" t="s">
        <v>95</v>
      </c>
      <c r="B1405" s="4">
        <v>40736</v>
      </c>
      <c r="C1405" s="1" t="s">
        <v>184</v>
      </c>
      <c r="D1405" s="1" t="s">
        <v>141</v>
      </c>
      <c r="E1405" s="1">
        <v>1</v>
      </c>
      <c r="F1405" s="1" t="s">
        <v>145</v>
      </c>
      <c r="G1405" s="1">
        <v>36</v>
      </c>
      <c r="H1405" s="1">
        <v>1.2</v>
      </c>
    </row>
    <row r="1406" spans="1:8">
      <c r="A1406" s="1" t="s">
        <v>95</v>
      </c>
      <c r="B1406" s="4">
        <v>40736</v>
      </c>
      <c r="C1406" s="1" t="s">
        <v>184</v>
      </c>
      <c r="D1406" s="1" t="s">
        <v>141</v>
      </c>
      <c r="E1406" s="1">
        <v>1</v>
      </c>
      <c r="F1406" s="1" t="s">
        <v>145</v>
      </c>
      <c r="G1406" s="1">
        <v>51</v>
      </c>
      <c r="H1406" s="1">
        <v>4</v>
      </c>
    </row>
    <row r="1407" spans="1:8">
      <c r="A1407" s="1" t="s">
        <v>95</v>
      </c>
      <c r="B1407" s="4">
        <v>40736</v>
      </c>
      <c r="C1407" s="1" t="s">
        <v>184</v>
      </c>
      <c r="D1407" s="1" t="s">
        <v>141</v>
      </c>
      <c r="E1407" s="1">
        <v>1</v>
      </c>
      <c r="F1407" s="1" t="s">
        <v>145</v>
      </c>
      <c r="G1407" s="1">
        <v>74</v>
      </c>
      <c r="H1407" s="1">
        <v>3.2</v>
      </c>
    </row>
    <row r="1408" spans="1:8">
      <c r="A1408" s="1" t="s">
        <v>95</v>
      </c>
      <c r="B1408" s="4">
        <v>40736</v>
      </c>
      <c r="C1408" s="1" t="s">
        <v>184</v>
      </c>
      <c r="D1408" s="1" t="s">
        <v>141</v>
      </c>
      <c r="E1408" s="1">
        <v>1</v>
      </c>
      <c r="F1408" s="1" t="s">
        <v>145</v>
      </c>
      <c r="G1408" s="1">
        <v>70</v>
      </c>
      <c r="H1408" s="1">
        <v>1.6</v>
      </c>
    </row>
    <row r="1409" spans="1:8">
      <c r="A1409" s="1" t="s">
        <v>95</v>
      </c>
      <c r="B1409" s="4">
        <v>40736</v>
      </c>
      <c r="C1409" s="1" t="s">
        <v>184</v>
      </c>
      <c r="D1409" s="1" t="s">
        <v>141</v>
      </c>
      <c r="E1409" s="1">
        <v>1</v>
      </c>
      <c r="F1409" s="1" t="s">
        <v>145</v>
      </c>
      <c r="G1409" s="1">
        <v>54</v>
      </c>
    </row>
    <row r="1410" spans="1:8">
      <c r="A1410" s="1" t="s">
        <v>95</v>
      </c>
      <c r="B1410" s="4">
        <v>40736</v>
      </c>
      <c r="C1410" s="1" t="s">
        <v>184</v>
      </c>
      <c r="D1410" s="1" t="s">
        <v>141</v>
      </c>
      <c r="E1410" s="1">
        <v>1</v>
      </c>
      <c r="F1410" s="1" t="s">
        <v>145</v>
      </c>
      <c r="G1410" s="1">
        <v>30</v>
      </c>
      <c r="H1410" s="1">
        <v>2.7</v>
      </c>
    </row>
    <row r="1411" spans="1:8">
      <c r="A1411" s="1" t="s">
        <v>95</v>
      </c>
      <c r="B1411" s="4">
        <v>40736</v>
      </c>
      <c r="C1411" s="1" t="s">
        <v>184</v>
      </c>
      <c r="D1411" s="1" t="s">
        <v>141</v>
      </c>
      <c r="E1411" s="1">
        <v>1</v>
      </c>
      <c r="F1411" s="1" t="s">
        <v>145</v>
      </c>
      <c r="G1411" s="1">
        <v>68</v>
      </c>
      <c r="H1411" s="1">
        <v>1.6</v>
      </c>
    </row>
    <row r="1412" spans="1:8">
      <c r="A1412" s="1" t="s">
        <v>95</v>
      </c>
      <c r="B1412" s="4">
        <v>40736</v>
      </c>
      <c r="C1412" s="1" t="s">
        <v>184</v>
      </c>
      <c r="D1412" s="1" t="s">
        <v>141</v>
      </c>
      <c r="E1412" s="1">
        <v>1</v>
      </c>
      <c r="F1412" s="1" t="s">
        <v>145</v>
      </c>
      <c r="G1412" s="1">
        <v>55</v>
      </c>
    </row>
    <row r="1413" spans="1:8">
      <c r="A1413" s="1" t="s">
        <v>95</v>
      </c>
      <c r="B1413" s="4">
        <v>40736</v>
      </c>
      <c r="C1413" s="1" t="s">
        <v>184</v>
      </c>
      <c r="D1413" s="1" t="s">
        <v>141</v>
      </c>
      <c r="E1413" s="1">
        <v>1</v>
      </c>
      <c r="F1413" s="1" t="s">
        <v>145</v>
      </c>
      <c r="G1413" s="1">
        <v>30</v>
      </c>
    </row>
    <row r="1414" spans="1:8">
      <c r="A1414" s="1" t="s">
        <v>95</v>
      </c>
      <c r="B1414" s="4">
        <v>40736</v>
      </c>
      <c r="C1414" s="1" t="s">
        <v>184</v>
      </c>
      <c r="D1414" s="1" t="s">
        <v>141</v>
      </c>
      <c r="E1414" s="1">
        <v>1</v>
      </c>
      <c r="F1414" s="1" t="s">
        <v>145</v>
      </c>
      <c r="G1414" s="1">
        <v>25</v>
      </c>
    </row>
    <row r="1415" spans="1:8">
      <c r="A1415" s="1" t="s">
        <v>95</v>
      </c>
      <c r="B1415" s="4">
        <v>40736</v>
      </c>
      <c r="C1415" s="1" t="s">
        <v>184</v>
      </c>
      <c r="D1415" s="1" t="s">
        <v>141</v>
      </c>
      <c r="E1415" s="1">
        <v>1</v>
      </c>
      <c r="F1415" s="1" t="s">
        <v>145</v>
      </c>
      <c r="G1415" s="1">
        <v>35</v>
      </c>
    </row>
    <row r="1416" spans="1:8">
      <c r="A1416" s="1" t="s">
        <v>95</v>
      </c>
      <c r="B1416" s="4">
        <v>40736</v>
      </c>
      <c r="C1416" s="1" t="s">
        <v>184</v>
      </c>
      <c r="D1416" s="1" t="s">
        <v>141</v>
      </c>
      <c r="E1416" s="1">
        <v>1</v>
      </c>
      <c r="F1416" s="1" t="s">
        <v>145</v>
      </c>
      <c r="G1416" s="1">
        <v>36</v>
      </c>
    </row>
    <row r="1417" spans="1:8">
      <c r="A1417" s="1" t="s">
        <v>95</v>
      </c>
      <c r="B1417" s="4">
        <v>40736</v>
      </c>
      <c r="C1417" s="1" t="s">
        <v>184</v>
      </c>
      <c r="D1417" s="1" t="s">
        <v>141</v>
      </c>
      <c r="E1417" s="1">
        <v>1</v>
      </c>
      <c r="F1417" s="1" t="s">
        <v>145</v>
      </c>
      <c r="G1417" s="1">
        <v>30</v>
      </c>
    </row>
    <row r="1418" spans="1:8">
      <c r="A1418" s="1" t="s">
        <v>95</v>
      </c>
      <c r="B1418" s="4">
        <v>40736</v>
      </c>
      <c r="C1418" s="1" t="s">
        <v>184</v>
      </c>
      <c r="D1418" s="1" t="s">
        <v>141</v>
      </c>
      <c r="E1418" s="1">
        <v>1</v>
      </c>
      <c r="F1418" s="1" t="s">
        <v>145</v>
      </c>
      <c r="G1418" s="1">
        <v>30</v>
      </c>
    </row>
    <row r="1419" spans="1:8">
      <c r="A1419" s="1" t="s">
        <v>95</v>
      </c>
      <c r="B1419" s="4">
        <v>40736</v>
      </c>
      <c r="C1419" s="1" t="s">
        <v>184</v>
      </c>
      <c r="D1419" s="1" t="s">
        <v>141</v>
      </c>
      <c r="E1419" s="1">
        <v>1</v>
      </c>
      <c r="F1419" s="1" t="s">
        <v>145</v>
      </c>
      <c r="G1419" s="1">
        <v>30</v>
      </c>
    </row>
    <row r="1420" spans="1:8">
      <c r="A1420" s="1" t="s">
        <v>95</v>
      </c>
      <c r="B1420" s="4">
        <v>40736</v>
      </c>
      <c r="C1420" s="1" t="s">
        <v>184</v>
      </c>
      <c r="D1420" s="1" t="s">
        <v>141</v>
      </c>
      <c r="E1420" s="1">
        <v>1</v>
      </c>
      <c r="F1420" s="1" t="s">
        <v>145</v>
      </c>
      <c r="G1420" s="1">
        <v>28</v>
      </c>
    </row>
    <row r="1421" spans="1:8">
      <c r="A1421" s="1" t="s">
        <v>95</v>
      </c>
      <c r="B1421" s="4">
        <v>40736</v>
      </c>
      <c r="C1421" s="1" t="s">
        <v>184</v>
      </c>
      <c r="D1421" s="1" t="s">
        <v>141</v>
      </c>
      <c r="E1421" s="1">
        <v>1</v>
      </c>
      <c r="F1421" s="1" t="s">
        <v>145</v>
      </c>
      <c r="G1421" s="1">
        <v>22</v>
      </c>
    </row>
    <row r="1422" spans="1:8">
      <c r="A1422" s="1" t="s">
        <v>95</v>
      </c>
      <c r="B1422" s="4">
        <v>40736</v>
      </c>
      <c r="C1422" s="1" t="s">
        <v>184</v>
      </c>
      <c r="D1422" s="1" t="s">
        <v>141</v>
      </c>
      <c r="E1422" s="1">
        <v>1</v>
      </c>
      <c r="F1422" s="1" t="s">
        <v>145</v>
      </c>
      <c r="G1422" s="1">
        <v>28</v>
      </c>
    </row>
    <row r="1423" spans="1:8">
      <c r="A1423" s="1" t="s">
        <v>95</v>
      </c>
      <c r="B1423" s="4">
        <v>40736</v>
      </c>
      <c r="C1423" s="1" t="s">
        <v>184</v>
      </c>
      <c r="D1423" s="1" t="s">
        <v>141</v>
      </c>
      <c r="E1423" s="1">
        <v>1</v>
      </c>
      <c r="F1423" s="1" t="s">
        <v>145</v>
      </c>
      <c r="G1423" s="1">
        <v>25</v>
      </c>
    </row>
    <row r="1424" spans="1:8">
      <c r="A1424" s="1" t="s">
        <v>95</v>
      </c>
      <c r="B1424" s="4">
        <v>40736</v>
      </c>
      <c r="C1424" s="1" t="s">
        <v>184</v>
      </c>
      <c r="D1424" s="1" t="s">
        <v>141</v>
      </c>
      <c r="E1424" s="1">
        <v>1</v>
      </c>
      <c r="F1424" s="1" t="s">
        <v>145</v>
      </c>
      <c r="G1424" s="1">
        <v>25</v>
      </c>
    </row>
    <row r="1425" spans="1:8">
      <c r="A1425" s="1" t="s">
        <v>95</v>
      </c>
      <c r="B1425" s="4">
        <v>40736</v>
      </c>
      <c r="C1425" s="1" t="s">
        <v>184</v>
      </c>
      <c r="D1425" s="1" t="s">
        <v>141</v>
      </c>
      <c r="E1425" s="1">
        <v>1</v>
      </c>
      <c r="F1425" s="1" t="s">
        <v>145</v>
      </c>
      <c r="G1425" s="1">
        <v>38</v>
      </c>
    </row>
    <row r="1426" spans="1:8">
      <c r="A1426" s="1" t="s">
        <v>95</v>
      </c>
      <c r="B1426" s="4">
        <v>40736</v>
      </c>
      <c r="C1426" s="1" t="s">
        <v>184</v>
      </c>
      <c r="D1426" s="1" t="s">
        <v>141</v>
      </c>
      <c r="E1426" s="1">
        <v>2</v>
      </c>
      <c r="F1426" s="1" t="s">
        <v>145</v>
      </c>
      <c r="G1426" s="1">
        <v>64</v>
      </c>
      <c r="H1426" s="1">
        <v>3</v>
      </c>
    </row>
    <row r="1427" spans="1:8">
      <c r="A1427" s="1" t="s">
        <v>95</v>
      </c>
      <c r="B1427" s="4">
        <v>40736</v>
      </c>
      <c r="C1427" s="1" t="s">
        <v>184</v>
      </c>
      <c r="D1427" s="1" t="s">
        <v>141</v>
      </c>
      <c r="E1427" s="1">
        <v>2</v>
      </c>
      <c r="F1427" s="1" t="s">
        <v>145</v>
      </c>
      <c r="G1427" s="1">
        <v>68</v>
      </c>
      <c r="H1427" s="1">
        <v>2.5</v>
      </c>
    </row>
    <row r="1428" spans="1:8">
      <c r="A1428" s="1" t="s">
        <v>95</v>
      </c>
      <c r="B1428" s="4">
        <v>40736</v>
      </c>
      <c r="C1428" s="1" t="s">
        <v>184</v>
      </c>
      <c r="D1428" s="1" t="s">
        <v>141</v>
      </c>
      <c r="E1428" s="1">
        <v>2</v>
      </c>
      <c r="F1428" s="1" t="s">
        <v>145</v>
      </c>
      <c r="G1428" s="1">
        <v>54</v>
      </c>
      <c r="H1428" s="1">
        <v>1.4</v>
      </c>
    </row>
    <row r="1429" spans="1:8">
      <c r="A1429" s="1" t="s">
        <v>95</v>
      </c>
      <c r="B1429" s="4">
        <v>40736</v>
      </c>
      <c r="C1429" s="1" t="s">
        <v>184</v>
      </c>
      <c r="D1429" s="1" t="s">
        <v>141</v>
      </c>
      <c r="E1429" s="1">
        <v>2</v>
      </c>
      <c r="F1429" s="1" t="s">
        <v>145</v>
      </c>
      <c r="G1429" s="1">
        <v>36</v>
      </c>
    </row>
    <row r="1430" spans="1:8">
      <c r="A1430" s="1" t="s">
        <v>95</v>
      </c>
      <c r="B1430" s="4">
        <v>40736</v>
      </c>
      <c r="C1430" s="1" t="s">
        <v>184</v>
      </c>
      <c r="D1430" s="1" t="s">
        <v>141</v>
      </c>
      <c r="E1430" s="1">
        <v>2</v>
      </c>
      <c r="F1430" s="1" t="s">
        <v>145</v>
      </c>
      <c r="G1430" s="1">
        <v>32</v>
      </c>
    </row>
    <row r="1431" spans="1:8">
      <c r="A1431" s="1" t="s">
        <v>95</v>
      </c>
      <c r="B1431" s="4">
        <v>40736</v>
      </c>
      <c r="C1431" s="1" t="s">
        <v>184</v>
      </c>
      <c r="D1431" s="1" t="s">
        <v>141</v>
      </c>
      <c r="E1431" s="1">
        <v>2</v>
      </c>
      <c r="F1431" s="1" t="s">
        <v>145</v>
      </c>
      <c r="G1431" s="1">
        <v>53</v>
      </c>
      <c r="H1431" s="1">
        <v>1.2</v>
      </c>
    </row>
    <row r="1432" spans="1:8">
      <c r="A1432" s="1" t="s">
        <v>95</v>
      </c>
      <c r="B1432" s="4">
        <v>40736</v>
      </c>
      <c r="C1432" s="1" t="s">
        <v>184</v>
      </c>
      <c r="D1432" s="1" t="s">
        <v>141</v>
      </c>
      <c r="E1432" s="1">
        <v>2</v>
      </c>
      <c r="F1432" s="1" t="s">
        <v>145</v>
      </c>
      <c r="G1432" s="1">
        <v>65</v>
      </c>
      <c r="H1432" s="1">
        <v>2.5</v>
      </c>
    </row>
    <row r="1433" spans="1:8">
      <c r="A1433" s="1" t="s">
        <v>95</v>
      </c>
      <c r="B1433" s="4">
        <v>40736</v>
      </c>
      <c r="C1433" s="1" t="s">
        <v>184</v>
      </c>
      <c r="D1433" s="1" t="s">
        <v>141</v>
      </c>
      <c r="E1433" s="1">
        <v>2</v>
      </c>
      <c r="F1433" s="1" t="s">
        <v>145</v>
      </c>
      <c r="G1433" s="1">
        <v>35</v>
      </c>
    </row>
    <row r="1434" spans="1:8">
      <c r="A1434" s="1" t="s">
        <v>95</v>
      </c>
      <c r="B1434" s="4">
        <v>40736</v>
      </c>
      <c r="C1434" s="1" t="s">
        <v>184</v>
      </c>
      <c r="D1434" s="1" t="s">
        <v>141</v>
      </c>
      <c r="E1434" s="1">
        <v>2</v>
      </c>
      <c r="F1434" s="1" t="s">
        <v>145</v>
      </c>
      <c r="G1434" s="1">
        <v>40</v>
      </c>
    </row>
    <row r="1435" spans="1:8">
      <c r="A1435" s="1" t="s">
        <v>95</v>
      </c>
      <c r="B1435" s="4">
        <v>40736</v>
      </c>
      <c r="C1435" s="1" t="s">
        <v>184</v>
      </c>
      <c r="D1435" s="1" t="s">
        <v>141</v>
      </c>
      <c r="E1435" s="1">
        <v>2</v>
      </c>
      <c r="F1435" s="1" t="s">
        <v>145</v>
      </c>
      <c r="G1435" s="1">
        <v>30</v>
      </c>
    </row>
    <row r="1436" spans="1:8">
      <c r="A1436" s="1" t="s">
        <v>95</v>
      </c>
      <c r="B1436" s="4">
        <v>40736</v>
      </c>
      <c r="C1436" s="1" t="s">
        <v>184</v>
      </c>
      <c r="D1436" s="1" t="s">
        <v>141</v>
      </c>
      <c r="E1436" s="1">
        <v>2</v>
      </c>
      <c r="F1436" s="1" t="s">
        <v>145</v>
      </c>
      <c r="G1436" s="1">
        <v>35</v>
      </c>
    </row>
    <row r="1437" spans="1:8">
      <c r="A1437" s="1" t="s">
        <v>95</v>
      </c>
      <c r="B1437" s="4">
        <v>40736</v>
      </c>
      <c r="C1437" s="1" t="s">
        <v>184</v>
      </c>
      <c r="D1437" s="1" t="s">
        <v>141</v>
      </c>
      <c r="E1437" s="1">
        <v>2</v>
      </c>
      <c r="F1437" s="1" t="s">
        <v>145</v>
      </c>
      <c r="G1437" s="1">
        <v>30</v>
      </c>
    </row>
    <row r="1438" spans="1:8">
      <c r="A1438" s="1" t="s">
        <v>95</v>
      </c>
      <c r="B1438" s="4">
        <v>40736</v>
      </c>
      <c r="C1438" s="1" t="s">
        <v>184</v>
      </c>
      <c r="D1438" s="1" t="s">
        <v>141</v>
      </c>
      <c r="E1438" s="1">
        <v>2</v>
      </c>
      <c r="F1438" s="1" t="s">
        <v>145</v>
      </c>
      <c r="G1438" s="1">
        <v>31</v>
      </c>
    </row>
    <row r="1439" spans="1:8">
      <c r="A1439" s="1" t="s">
        <v>95</v>
      </c>
      <c r="B1439" s="4">
        <v>40736</v>
      </c>
      <c r="C1439" s="1" t="s">
        <v>184</v>
      </c>
      <c r="D1439" s="1" t="s">
        <v>141</v>
      </c>
      <c r="E1439" s="1">
        <v>2</v>
      </c>
      <c r="F1439" s="1" t="s">
        <v>145</v>
      </c>
      <c r="G1439" s="1">
        <v>32</v>
      </c>
    </row>
    <row r="1440" spans="1:8">
      <c r="A1440" s="1" t="s">
        <v>95</v>
      </c>
      <c r="B1440" s="4">
        <v>40736</v>
      </c>
      <c r="C1440" s="1" t="s">
        <v>184</v>
      </c>
      <c r="D1440" s="1" t="s">
        <v>141</v>
      </c>
      <c r="E1440" s="1">
        <v>2</v>
      </c>
      <c r="F1440" s="1" t="s">
        <v>145</v>
      </c>
      <c r="G1440" s="1">
        <v>60</v>
      </c>
      <c r="H1440" s="1">
        <v>2.1</v>
      </c>
    </row>
    <row r="1441" spans="1:8">
      <c r="A1441" s="1" t="s">
        <v>95</v>
      </c>
      <c r="B1441" s="4">
        <v>40736</v>
      </c>
      <c r="C1441" s="1" t="s">
        <v>184</v>
      </c>
      <c r="D1441" s="1" t="s">
        <v>141</v>
      </c>
      <c r="E1441" s="1">
        <v>2</v>
      </c>
      <c r="F1441" s="1" t="s">
        <v>145</v>
      </c>
      <c r="G1441" s="1">
        <v>34</v>
      </c>
    </row>
    <row r="1442" spans="1:8">
      <c r="A1442" s="1" t="s">
        <v>95</v>
      </c>
      <c r="B1442" s="4">
        <v>40736</v>
      </c>
      <c r="C1442" s="1" t="s">
        <v>184</v>
      </c>
      <c r="D1442" s="1" t="s">
        <v>141</v>
      </c>
      <c r="E1442" s="1">
        <v>2</v>
      </c>
      <c r="F1442" s="1" t="s">
        <v>145</v>
      </c>
      <c r="G1442" s="1">
        <v>22</v>
      </c>
    </row>
    <row r="1443" spans="1:8">
      <c r="A1443" s="1" t="s">
        <v>95</v>
      </c>
      <c r="B1443" s="4">
        <v>40736</v>
      </c>
      <c r="C1443" s="1" t="s">
        <v>184</v>
      </c>
      <c r="D1443" s="1" t="s">
        <v>141</v>
      </c>
      <c r="E1443" s="1">
        <v>2</v>
      </c>
      <c r="F1443" s="1" t="s">
        <v>145</v>
      </c>
      <c r="G1443" s="1">
        <v>30</v>
      </c>
    </row>
    <row r="1444" spans="1:8">
      <c r="A1444" s="1" t="s">
        <v>95</v>
      </c>
      <c r="B1444" s="4">
        <v>40736</v>
      </c>
      <c r="C1444" s="1" t="s">
        <v>184</v>
      </c>
      <c r="D1444" s="1" t="s">
        <v>141</v>
      </c>
      <c r="E1444" s="1">
        <v>2</v>
      </c>
      <c r="F1444" s="1" t="s">
        <v>145</v>
      </c>
      <c r="G1444" s="1">
        <v>30</v>
      </c>
    </row>
    <row r="1445" spans="1:8">
      <c r="A1445" s="1" t="s">
        <v>95</v>
      </c>
      <c r="B1445" s="4">
        <v>40736</v>
      </c>
      <c r="C1445" s="1" t="s">
        <v>184</v>
      </c>
      <c r="D1445" s="1" t="s">
        <v>141</v>
      </c>
      <c r="E1445" s="1">
        <v>2</v>
      </c>
      <c r="F1445" s="1" t="s">
        <v>145</v>
      </c>
      <c r="G1445" s="1">
        <v>30</v>
      </c>
    </row>
    <row r="1446" spans="1:8">
      <c r="A1446" s="1" t="s">
        <v>95</v>
      </c>
      <c r="B1446" s="4">
        <v>40736</v>
      </c>
      <c r="C1446" s="1" t="s">
        <v>184</v>
      </c>
      <c r="D1446" s="1" t="s">
        <v>141</v>
      </c>
      <c r="E1446" s="1">
        <v>2</v>
      </c>
      <c r="F1446" s="1" t="s">
        <v>145</v>
      </c>
      <c r="G1446" s="1">
        <v>29</v>
      </c>
    </row>
    <row r="1447" spans="1:8">
      <c r="A1447" s="1" t="s">
        <v>95</v>
      </c>
      <c r="B1447" s="4">
        <v>40736</v>
      </c>
      <c r="C1447" s="1" t="s">
        <v>184</v>
      </c>
      <c r="D1447" s="1" t="s">
        <v>141</v>
      </c>
      <c r="E1447" s="1">
        <v>2</v>
      </c>
      <c r="F1447" s="1" t="s">
        <v>145</v>
      </c>
      <c r="G1447" s="1">
        <v>27</v>
      </c>
    </row>
    <row r="1448" spans="1:8">
      <c r="A1448" s="1" t="s">
        <v>95</v>
      </c>
      <c r="B1448" s="4">
        <v>40736</v>
      </c>
      <c r="C1448" s="1" t="s">
        <v>184</v>
      </c>
      <c r="D1448" s="1" t="s">
        <v>147</v>
      </c>
      <c r="E1448" s="1">
        <v>1</v>
      </c>
      <c r="F1448" s="1" t="s">
        <v>145</v>
      </c>
      <c r="G1448" s="1">
        <v>63</v>
      </c>
      <c r="H1448" s="1">
        <v>2.5</v>
      </c>
    </row>
    <row r="1449" spans="1:8">
      <c r="A1449" s="1" t="s">
        <v>95</v>
      </c>
      <c r="B1449" s="4">
        <v>40736</v>
      </c>
      <c r="C1449" s="1" t="s">
        <v>184</v>
      </c>
      <c r="D1449" s="1" t="s">
        <v>147</v>
      </c>
      <c r="E1449" s="1">
        <v>1</v>
      </c>
      <c r="F1449" s="1" t="s">
        <v>145</v>
      </c>
      <c r="G1449" s="1">
        <v>59</v>
      </c>
      <c r="H1449" s="1">
        <v>2.2999999999999998</v>
      </c>
    </row>
    <row r="1450" spans="1:8">
      <c r="A1450" s="1" t="s">
        <v>95</v>
      </c>
      <c r="B1450" s="4">
        <v>40736</v>
      </c>
      <c r="C1450" s="1" t="s">
        <v>184</v>
      </c>
      <c r="D1450" s="1" t="s">
        <v>147</v>
      </c>
      <c r="E1450" s="1">
        <v>1</v>
      </c>
      <c r="F1450" s="1" t="s">
        <v>145</v>
      </c>
      <c r="G1450" s="1">
        <v>127</v>
      </c>
      <c r="H1450" s="1">
        <v>21</v>
      </c>
    </row>
    <row r="1451" spans="1:8">
      <c r="A1451" s="1" t="s">
        <v>95</v>
      </c>
      <c r="B1451" s="4">
        <v>40736</v>
      </c>
      <c r="C1451" s="1" t="s">
        <v>184</v>
      </c>
      <c r="D1451" s="1" t="s">
        <v>147</v>
      </c>
      <c r="E1451" s="1">
        <v>1</v>
      </c>
      <c r="F1451" s="1" t="s">
        <v>145</v>
      </c>
      <c r="G1451" s="1">
        <v>154</v>
      </c>
    </row>
    <row r="1452" spans="1:8">
      <c r="A1452" s="1" t="s">
        <v>95</v>
      </c>
      <c r="B1452" s="4">
        <v>40736</v>
      </c>
      <c r="C1452" s="1" t="s">
        <v>184</v>
      </c>
      <c r="D1452" s="1" t="s">
        <v>147</v>
      </c>
      <c r="E1452" s="1">
        <v>1</v>
      </c>
      <c r="F1452" s="1" t="s">
        <v>145</v>
      </c>
      <c r="G1452" s="1">
        <v>60</v>
      </c>
      <c r="H1452" s="1">
        <v>2</v>
      </c>
    </row>
    <row r="1453" spans="1:8">
      <c r="A1453" s="1" t="s">
        <v>95</v>
      </c>
      <c r="B1453" s="4">
        <v>40736</v>
      </c>
      <c r="C1453" s="1" t="s">
        <v>184</v>
      </c>
      <c r="D1453" s="1" t="s">
        <v>147</v>
      </c>
      <c r="E1453" s="1">
        <v>1</v>
      </c>
      <c r="F1453" s="1" t="s">
        <v>145</v>
      </c>
      <c r="G1453" s="1">
        <v>70</v>
      </c>
      <c r="H1453" s="1">
        <v>3.6</v>
      </c>
    </row>
    <row r="1454" spans="1:8">
      <c r="A1454" s="1" t="s">
        <v>95</v>
      </c>
      <c r="B1454" s="4">
        <v>40736</v>
      </c>
      <c r="C1454" s="1" t="s">
        <v>184</v>
      </c>
      <c r="D1454" s="1" t="s">
        <v>147</v>
      </c>
      <c r="E1454" s="1">
        <v>1</v>
      </c>
      <c r="F1454" s="1" t="s">
        <v>145</v>
      </c>
      <c r="G1454" s="1">
        <v>58</v>
      </c>
      <c r="H1454" s="1">
        <v>2</v>
      </c>
    </row>
    <row r="1455" spans="1:8">
      <c r="A1455" s="1" t="s">
        <v>95</v>
      </c>
      <c r="B1455" s="4">
        <v>40736</v>
      </c>
      <c r="C1455" s="1" t="s">
        <v>184</v>
      </c>
      <c r="D1455" s="1" t="s">
        <v>147</v>
      </c>
      <c r="E1455" s="1">
        <v>1</v>
      </c>
      <c r="F1455" s="1" t="s">
        <v>145</v>
      </c>
      <c r="G1455" s="1">
        <v>57</v>
      </c>
      <c r="H1455" s="1">
        <v>1.5</v>
      </c>
    </row>
    <row r="1456" spans="1:8">
      <c r="A1456" s="1" t="s">
        <v>95</v>
      </c>
      <c r="B1456" s="4">
        <v>40736</v>
      </c>
      <c r="C1456" s="1" t="s">
        <v>184</v>
      </c>
      <c r="D1456" s="1" t="s">
        <v>147</v>
      </c>
      <c r="E1456" s="1">
        <v>1</v>
      </c>
      <c r="F1456" s="1" t="s">
        <v>145</v>
      </c>
      <c r="G1456" s="1">
        <v>36</v>
      </c>
    </row>
    <row r="1457" spans="1:8">
      <c r="A1457" s="1" t="s">
        <v>95</v>
      </c>
      <c r="B1457" s="4">
        <v>40736</v>
      </c>
      <c r="C1457" s="1" t="s">
        <v>184</v>
      </c>
      <c r="D1457" s="1" t="s">
        <v>147</v>
      </c>
      <c r="E1457" s="1">
        <v>2</v>
      </c>
      <c r="F1457" s="1" t="s">
        <v>145</v>
      </c>
      <c r="G1457" s="1">
        <v>54</v>
      </c>
      <c r="H1457" s="1">
        <v>1.5</v>
      </c>
    </row>
    <row r="1458" spans="1:8">
      <c r="A1458" s="1" t="s">
        <v>95</v>
      </c>
      <c r="B1458" s="4">
        <v>40736</v>
      </c>
      <c r="C1458" s="1" t="s">
        <v>184</v>
      </c>
      <c r="D1458" s="1" t="s">
        <v>147</v>
      </c>
      <c r="E1458" s="1">
        <v>2</v>
      </c>
      <c r="F1458" s="1" t="s">
        <v>145</v>
      </c>
      <c r="G1458" s="1">
        <v>178</v>
      </c>
    </row>
    <row r="1459" spans="1:8">
      <c r="A1459" s="1" t="s">
        <v>95</v>
      </c>
      <c r="B1459" s="4">
        <v>40736</v>
      </c>
      <c r="C1459" s="1" t="s">
        <v>184</v>
      </c>
      <c r="D1459" s="1" t="s">
        <v>147</v>
      </c>
      <c r="E1459" s="1">
        <v>2</v>
      </c>
      <c r="F1459" s="1" t="s">
        <v>145</v>
      </c>
      <c r="G1459" s="1">
        <v>28</v>
      </c>
    </row>
    <row r="1460" spans="1:8">
      <c r="A1460" s="1" t="s">
        <v>95</v>
      </c>
      <c r="B1460" s="4">
        <v>40736</v>
      </c>
      <c r="C1460" s="1" t="s">
        <v>184</v>
      </c>
      <c r="D1460" s="1" t="s">
        <v>147</v>
      </c>
      <c r="E1460" s="1">
        <v>2</v>
      </c>
      <c r="F1460" s="1" t="s">
        <v>145</v>
      </c>
      <c r="G1460" s="1">
        <v>152</v>
      </c>
    </row>
    <row r="1461" spans="1:8">
      <c r="A1461" s="1" t="s">
        <v>95</v>
      </c>
      <c r="B1461" s="4">
        <v>40736</v>
      </c>
      <c r="C1461" s="1" t="s">
        <v>184</v>
      </c>
      <c r="D1461" s="1" t="s">
        <v>150</v>
      </c>
      <c r="E1461" s="1">
        <v>1</v>
      </c>
      <c r="F1461" s="1" t="s">
        <v>145</v>
      </c>
      <c r="G1461" s="1">
        <v>60</v>
      </c>
      <c r="H1461" s="1">
        <v>2.2000000000000002</v>
      </c>
    </row>
    <row r="1462" spans="1:8">
      <c r="A1462" s="1" t="s">
        <v>95</v>
      </c>
      <c r="B1462" s="4">
        <v>40736</v>
      </c>
      <c r="C1462" s="1" t="s">
        <v>184</v>
      </c>
      <c r="D1462" s="1" t="s">
        <v>150</v>
      </c>
      <c r="E1462" s="1">
        <v>1</v>
      </c>
      <c r="F1462" s="1" t="s">
        <v>145</v>
      </c>
      <c r="G1462" s="1">
        <v>76</v>
      </c>
      <c r="H1462" s="1">
        <v>4.5999999999999996</v>
      </c>
    </row>
    <row r="1463" spans="1:8">
      <c r="A1463" s="1" t="s">
        <v>95</v>
      </c>
      <c r="B1463" s="4">
        <v>40736</v>
      </c>
      <c r="C1463" s="1" t="s">
        <v>184</v>
      </c>
      <c r="D1463" s="1" t="s">
        <v>150</v>
      </c>
      <c r="E1463" s="1">
        <v>1</v>
      </c>
      <c r="F1463" s="1" t="s">
        <v>145</v>
      </c>
      <c r="G1463" s="1">
        <v>65</v>
      </c>
      <c r="H1463" s="1">
        <v>2.8</v>
      </c>
    </row>
    <row r="1464" spans="1:8">
      <c r="A1464" s="1" t="s">
        <v>95</v>
      </c>
      <c r="B1464" s="4">
        <v>40736</v>
      </c>
      <c r="C1464" s="1" t="s">
        <v>184</v>
      </c>
      <c r="D1464" s="1" t="s">
        <v>150</v>
      </c>
      <c r="E1464" s="1">
        <v>1</v>
      </c>
      <c r="F1464" s="1" t="s">
        <v>145</v>
      </c>
      <c r="G1464" s="1">
        <v>66</v>
      </c>
      <c r="H1464" s="1">
        <v>3.1</v>
      </c>
    </row>
    <row r="1465" spans="1:8">
      <c r="A1465" s="1" t="s">
        <v>95</v>
      </c>
      <c r="B1465" s="4">
        <v>40736</v>
      </c>
      <c r="C1465" s="1" t="s">
        <v>184</v>
      </c>
      <c r="D1465" s="1" t="s">
        <v>150</v>
      </c>
      <c r="E1465" s="1">
        <v>1</v>
      </c>
      <c r="F1465" s="1" t="s">
        <v>145</v>
      </c>
      <c r="G1465" s="1">
        <v>69</v>
      </c>
      <c r="H1465" s="1">
        <v>2.8</v>
      </c>
    </row>
    <row r="1466" spans="1:8">
      <c r="A1466" s="1" t="s">
        <v>95</v>
      </c>
      <c r="B1466" s="4">
        <v>40736</v>
      </c>
      <c r="C1466" s="1" t="s">
        <v>184</v>
      </c>
      <c r="D1466" s="1" t="s">
        <v>150</v>
      </c>
      <c r="E1466" s="1">
        <v>1</v>
      </c>
      <c r="F1466" s="1" t="s">
        <v>145</v>
      </c>
      <c r="G1466" s="1">
        <v>55</v>
      </c>
      <c r="H1466" s="1">
        <v>1.5</v>
      </c>
    </row>
    <row r="1467" spans="1:8">
      <c r="A1467" s="1" t="s">
        <v>95</v>
      </c>
      <c r="B1467" s="4">
        <v>40736</v>
      </c>
      <c r="C1467" s="1" t="s">
        <v>184</v>
      </c>
      <c r="D1467" s="1" t="s">
        <v>150</v>
      </c>
      <c r="E1467" s="1">
        <v>1</v>
      </c>
      <c r="F1467" s="1" t="s">
        <v>145</v>
      </c>
      <c r="G1467" s="1">
        <v>62</v>
      </c>
      <c r="H1467" s="1">
        <v>2</v>
      </c>
    </row>
    <row r="1468" spans="1:8">
      <c r="A1468" s="1" t="s">
        <v>95</v>
      </c>
      <c r="B1468" s="4">
        <v>40736</v>
      </c>
      <c r="C1468" s="1" t="s">
        <v>184</v>
      </c>
      <c r="D1468" s="1" t="s">
        <v>150</v>
      </c>
      <c r="E1468" s="1">
        <v>1</v>
      </c>
      <c r="F1468" s="1" t="s">
        <v>145</v>
      </c>
      <c r="G1468" s="1">
        <v>31</v>
      </c>
    </row>
    <row r="1469" spans="1:8">
      <c r="A1469" s="1" t="s">
        <v>95</v>
      </c>
      <c r="B1469" s="4">
        <v>40736</v>
      </c>
      <c r="C1469" s="1" t="s">
        <v>184</v>
      </c>
      <c r="D1469" s="1" t="s">
        <v>150</v>
      </c>
      <c r="E1469" s="1">
        <v>1</v>
      </c>
      <c r="F1469" s="1" t="s">
        <v>145</v>
      </c>
      <c r="G1469" s="1">
        <v>30</v>
      </c>
    </row>
    <row r="1470" spans="1:8">
      <c r="A1470" s="1" t="s">
        <v>95</v>
      </c>
      <c r="B1470" s="4">
        <v>40736</v>
      </c>
      <c r="C1470" s="1" t="s">
        <v>184</v>
      </c>
      <c r="D1470" s="1" t="s">
        <v>150</v>
      </c>
      <c r="E1470" s="1">
        <v>1</v>
      </c>
      <c r="F1470" s="1" t="s">
        <v>145</v>
      </c>
      <c r="G1470" s="1">
        <v>31</v>
      </c>
    </row>
    <row r="1471" spans="1:8">
      <c r="A1471" s="1" t="s">
        <v>95</v>
      </c>
      <c r="B1471" s="4">
        <v>40736</v>
      </c>
      <c r="C1471" s="1" t="s">
        <v>184</v>
      </c>
      <c r="D1471" s="1" t="s">
        <v>150</v>
      </c>
      <c r="E1471" s="1">
        <v>1</v>
      </c>
      <c r="F1471" s="1" t="s">
        <v>145</v>
      </c>
      <c r="G1471" s="1">
        <v>223</v>
      </c>
    </row>
    <row r="1472" spans="1:8">
      <c r="A1472" s="1" t="s">
        <v>95</v>
      </c>
      <c r="B1472" s="4">
        <v>40736</v>
      </c>
      <c r="C1472" s="1" t="s">
        <v>184</v>
      </c>
      <c r="D1472" s="1" t="s">
        <v>150</v>
      </c>
      <c r="E1472" s="1">
        <v>2</v>
      </c>
      <c r="F1472" s="1" t="s">
        <v>145</v>
      </c>
      <c r="G1472" s="1">
        <v>63</v>
      </c>
      <c r="H1472" s="1">
        <v>2.5</v>
      </c>
    </row>
    <row r="1473" spans="1:8">
      <c r="A1473" s="1" t="s">
        <v>95</v>
      </c>
      <c r="B1473" s="4">
        <v>40736</v>
      </c>
      <c r="C1473" s="1" t="s">
        <v>184</v>
      </c>
      <c r="D1473" s="1" t="s">
        <v>150</v>
      </c>
      <c r="E1473" s="1">
        <v>2</v>
      </c>
      <c r="F1473" s="1" t="s">
        <v>145</v>
      </c>
      <c r="G1473" s="1">
        <v>55</v>
      </c>
      <c r="H1473" s="1">
        <v>1.7</v>
      </c>
    </row>
    <row r="1474" spans="1:8">
      <c r="A1474" s="1" t="s">
        <v>95</v>
      </c>
      <c r="B1474" s="4">
        <v>40736</v>
      </c>
      <c r="C1474" s="1" t="s">
        <v>184</v>
      </c>
      <c r="D1474" s="1" t="s">
        <v>150</v>
      </c>
      <c r="E1474" s="1">
        <v>2</v>
      </c>
      <c r="F1474" s="1" t="s">
        <v>145</v>
      </c>
      <c r="G1474" s="1">
        <v>28</v>
      </c>
    </row>
    <row r="1475" spans="1:8">
      <c r="A1475" s="1" t="s">
        <v>95</v>
      </c>
      <c r="B1475" s="4">
        <v>40736</v>
      </c>
      <c r="C1475" s="1" t="s">
        <v>184</v>
      </c>
      <c r="D1475" s="1" t="s">
        <v>150</v>
      </c>
      <c r="E1475" s="1">
        <v>2</v>
      </c>
      <c r="F1475" s="1" t="s">
        <v>145</v>
      </c>
      <c r="G1475" s="1">
        <v>27</v>
      </c>
    </row>
    <row r="1476" spans="1:8">
      <c r="A1476" s="1" t="s">
        <v>95</v>
      </c>
      <c r="B1476" s="4">
        <v>40736</v>
      </c>
      <c r="C1476" s="1" t="s">
        <v>184</v>
      </c>
      <c r="D1476" s="1" t="s">
        <v>150</v>
      </c>
      <c r="E1476" s="1">
        <v>2</v>
      </c>
      <c r="F1476" s="1" t="s">
        <v>145</v>
      </c>
      <c r="G1476" s="1">
        <v>160</v>
      </c>
    </row>
    <row r="1477" spans="1:8">
      <c r="A1477" s="1" t="s">
        <v>79</v>
      </c>
      <c r="B1477" s="4">
        <v>40738</v>
      </c>
      <c r="C1477" s="1" t="s">
        <v>186</v>
      </c>
      <c r="D1477" s="1" t="s">
        <v>141</v>
      </c>
      <c r="E1477" s="1">
        <v>1</v>
      </c>
      <c r="F1477" s="1" t="s">
        <v>145</v>
      </c>
      <c r="G1477" s="1">
        <v>101</v>
      </c>
      <c r="H1477" s="1">
        <v>8.5</v>
      </c>
    </row>
    <row r="1478" spans="1:8">
      <c r="A1478" s="1" t="s">
        <v>79</v>
      </c>
      <c r="B1478" s="4">
        <v>40738</v>
      </c>
      <c r="C1478" s="1" t="s">
        <v>186</v>
      </c>
      <c r="D1478" s="1" t="s">
        <v>141</v>
      </c>
      <c r="E1478" s="1">
        <v>1</v>
      </c>
      <c r="F1478" s="1" t="s">
        <v>145</v>
      </c>
      <c r="G1478" s="1">
        <v>115</v>
      </c>
      <c r="H1478" s="1">
        <v>12.5</v>
      </c>
    </row>
    <row r="1479" spans="1:8">
      <c r="A1479" s="1" t="s">
        <v>79</v>
      </c>
      <c r="B1479" s="4">
        <v>40738</v>
      </c>
      <c r="C1479" s="1" t="s">
        <v>186</v>
      </c>
      <c r="D1479" s="1" t="s">
        <v>141</v>
      </c>
      <c r="E1479" s="1">
        <v>1</v>
      </c>
      <c r="F1479" s="1" t="s">
        <v>145</v>
      </c>
      <c r="G1479" s="1">
        <v>104</v>
      </c>
      <c r="H1479" s="1">
        <v>8.5</v>
      </c>
    </row>
    <row r="1480" spans="1:8">
      <c r="A1480" s="1" t="s">
        <v>79</v>
      </c>
      <c r="B1480" s="4">
        <v>40738</v>
      </c>
      <c r="C1480" s="1" t="s">
        <v>186</v>
      </c>
      <c r="D1480" s="1" t="s">
        <v>141</v>
      </c>
      <c r="E1480" s="1">
        <v>1</v>
      </c>
      <c r="F1480" s="1" t="s">
        <v>145</v>
      </c>
      <c r="G1480" s="1">
        <v>114</v>
      </c>
      <c r="H1480" s="1">
        <v>12</v>
      </c>
    </row>
    <row r="1481" spans="1:8">
      <c r="A1481" s="1" t="s">
        <v>79</v>
      </c>
      <c r="B1481" s="4">
        <v>40738</v>
      </c>
      <c r="C1481" s="1" t="s">
        <v>186</v>
      </c>
      <c r="D1481" s="1" t="s">
        <v>141</v>
      </c>
      <c r="E1481" s="1">
        <v>1</v>
      </c>
      <c r="F1481" s="1" t="s">
        <v>145</v>
      </c>
      <c r="G1481" s="1">
        <v>107</v>
      </c>
      <c r="H1481" s="1">
        <v>111.5</v>
      </c>
    </row>
    <row r="1482" spans="1:8">
      <c r="A1482" s="1" t="s">
        <v>79</v>
      </c>
      <c r="B1482" s="4">
        <v>40738</v>
      </c>
      <c r="C1482" s="1" t="s">
        <v>186</v>
      </c>
      <c r="D1482" s="1" t="s">
        <v>141</v>
      </c>
      <c r="E1482" s="1">
        <v>1</v>
      </c>
      <c r="F1482" s="1" t="s">
        <v>145</v>
      </c>
      <c r="G1482" s="1">
        <v>114</v>
      </c>
      <c r="H1482" s="1">
        <v>13.5</v>
      </c>
    </row>
    <row r="1483" spans="1:8">
      <c r="A1483" s="1" t="s">
        <v>79</v>
      </c>
      <c r="B1483" s="4">
        <v>40738</v>
      </c>
      <c r="C1483" s="1" t="s">
        <v>186</v>
      </c>
      <c r="D1483" s="1" t="s">
        <v>141</v>
      </c>
      <c r="E1483" s="1">
        <v>1</v>
      </c>
      <c r="F1483" s="1" t="s">
        <v>145</v>
      </c>
      <c r="G1483" s="1">
        <v>117</v>
      </c>
      <c r="H1483" s="1">
        <v>13.5</v>
      </c>
    </row>
    <row r="1484" spans="1:8">
      <c r="A1484" s="1" t="s">
        <v>79</v>
      </c>
      <c r="B1484" s="4">
        <v>40738</v>
      </c>
      <c r="C1484" s="1" t="s">
        <v>186</v>
      </c>
      <c r="D1484" s="1" t="s">
        <v>141</v>
      </c>
      <c r="E1484" s="1">
        <v>1</v>
      </c>
      <c r="F1484" s="1" t="s">
        <v>145</v>
      </c>
      <c r="G1484" s="1">
        <v>124</v>
      </c>
      <c r="H1484" s="1">
        <v>16</v>
      </c>
    </row>
    <row r="1485" spans="1:8">
      <c r="A1485" s="1" t="s">
        <v>79</v>
      </c>
      <c r="B1485" s="4">
        <v>40738</v>
      </c>
      <c r="C1485" s="1" t="s">
        <v>186</v>
      </c>
      <c r="D1485" s="1" t="s">
        <v>141</v>
      </c>
      <c r="E1485" s="1">
        <v>2</v>
      </c>
      <c r="F1485" s="1" t="s">
        <v>145</v>
      </c>
      <c r="G1485" s="1">
        <v>115</v>
      </c>
      <c r="H1485" s="1">
        <v>13.5</v>
      </c>
    </row>
    <row r="1486" spans="1:8">
      <c r="A1486" s="1" t="s">
        <v>79</v>
      </c>
      <c r="B1486" s="4">
        <v>40738</v>
      </c>
      <c r="C1486" s="1" t="s">
        <v>186</v>
      </c>
      <c r="D1486" s="1" t="s">
        <v>141</v>
      </c>
      <c r="E1486" s="1">
        <v>2</v>
      </c>
      <c r="F1486" s="1" t="s">
        <v>145</v>
      </c>
      <c r="G1486" s="1">
        <v>106</v>
      </c>
      <c r="H1486" s="1">
        <v>11.5</v>
      </c>
    </row>
    <row r="1487" spans="1:8">
      <c r="A1487" s="1" t="s">
        <v>79</v>
      </c>
      <c r="B1487" s="4">
        <v>40738</v>
      </c>
      <c r="C1487" s="1" t="s">
        <v>186</v>
      </c>
      <c r="D1487" s="1" t="s">
        <v>147</v>
      </c>
      <c r="E1487" s="1">
        <v>1</v>
      </c>
      <c r="F1487" s="1" t="s">
        <v>145</v>
      </c>
      <c r="G1487" s="1">
        <v>65</v>
      </c>
      <c r="H1487" s="1">
        <v>5</v>
      </c>
    </row>
    <row r="1488" spans="1:8">
      <c r="A1488" s="1" t="s">
        <v>79</v>
      </c>
      <c r="B1488" s="4">
        <v>40738</v>
      </c>
      <c r="C1488" s="1" t="s">
        <v>186</v>
      </c>
      <c r="D1488" s="1" t="s">
        <v>147</v>
      </c>
      <c r="E1488" s="1">
        <v>1</v>
      </c>
      <c r="F1488" s="1" t="s">
        <v>145</v>
      </c>
      <c r="G1488" s="1">
        <v>95</v>
      </c>
      <c r="H1488" s="1">
        <v>9.1</v>
      </c>
    </row>
    <row r="1489" spans="1:8">
      <c r="A1489" s="1" t="s">
        <v>79</v>
      </c>
      <c r="B1489" s="4">
        <v>40738</v>
      </c>
      <c r="C1489" s="1" t="s">
        <v>186</v>
      </c>
      <c r="D1489" s="1" t="s">
        <v>147</v>
      </c>
      <c r="E1489" s="1">
        <v>1</v>
      </c>
      <c r="F1489" s="1" t="s">
        <v>145</v>
      </c>
      <c r="G1489" s="1">
        <v>98</v>
      </c>
      <c r="H1489" s="1">
        <v>11</v>
      </c>
    </row>
    <row r="1490" spans="1:8">
      <c r="A1490" s="1" t="s">
        <v>79</v>
      </c>
      <c r="B1490" s="4">
        <v>40738</v>
      </c>
      <c r="C1490" s="1" t="s">
        <v>186</v>
      </c>
      <c r="D1490" s="1" t="s">
        <v>147</v>
      </c>
      <c r="E1490" s="1">
        <v>1</v>
      </c>
      <c r="F1490" s="1" t="s">
        <v>145</v>
      </c>
      <c r="G1490" s="1">
        <v>65</v>
      </c>
      <c r="H1490" s="1">
        <v>2.2000000000000002</v>
      </c>
    </row>
    <row r="1491" spans="1:8">
      <c r="A1491" s="1" t="s">
        <v>79</v>
      </c>
      <c r="B1491" s="4">
        <v>40738</v>
      </c>
      <c r="C1491" s="1" t="s">
        <v>186</v>
      </c>
      <c r="D1491" s="1" t="s">
        <v>147</v>
      </c>
      <c r="E1491" s="1">
        <v>1</v>
      </c>
      <c r="F1491" s="1" t="s">
        <v>145</v>
      </c>
      <c r="G1491" s="1">
        <v>106</v>
      </c>
      <c r="H1491" s="1">
        <v>12</v>
      </c>
    </row>
    <row r="1492" spans="1:8">
      <c r="A1492" s="1" t="s">
        <v>79</v>
      </c>
      <c r="B1492" s="4">
        <v>40738</v>
      </c>
      <c r="C1492" s="1" t="s">
        <v>186</v>
      </c>
      <c r="D1492" s="1" t="s">
        <v>147</v>
      </c>
      <c r="E1492" s="1">
        <v>1</v>
      </c>
      <c r="F1492" s="1" t="s">
        <v>145</v>
      </c>
      <c r="G1492" s="1">
        <v>95</v>
      </c>
    </row>
    <row r="1493" spans="1:8">
      <c r="A1493" s="1" t="s">
        <v>79</v>
      </c>
      <c r="B1493" s="4">
        <v>40738</v>
      </c>
      <c r="C1493" s="1" t="s">
        <v>186</v>
      </c>
      <c r="D1493" s="1" t="s">
        <v>147</v>
      </c>
      <c r="E1493" s="1">
        <v>1</v>
      </c>
      <c r="F1493" s="1" t="s">
        <v>145</v>
      </c>
      <c r="G1493" s="1">
        <v>106</v>
      </c>
      <c r="H1493" s="1">
        <v>12</v>
      </c>
    </row>
    <row r="1494" spans="1:8">
      <c r="A1494" s="1" t="s">
        <v>79</v>
      </c>
      <c r="B1494" s="4">
        <v>40738</v>
      </c>
      <c r="C1494" s="1" t="s">
        <v>186</v>
      </c>
      <c r="D1494" s="1" t="s">
        <v>147</v>
      </c>
      <c r="E1494" s="1">
        <v>1</v>
      </c>
      <c r="F1494" s="1" t="s">
        <v>145</v>
      </c>
      <c r="G1494" s="1">
        <v>116</v>
      </c>
      <c r="H1494" s="1">
        <v>14</v>
      </c>
    </row>
    <row r="1495" spans="1:8">
      <c r="A1495" s="1" t="s">
        <v>79</v>
      </c>
      <c r="B1495" s="4">
        <v>40738</v>
      </c>
      <c r="C1495" s="1" t="s">
        <v>186</v>
      </c>
      <c r="D1495" s="1" t="s">
        <v>147</v>
      </c>
      <c r="E1495" s="1">
        <v>1</v>
      </c>
      <c r="F1495" s="1" t="s">
        <v>145</v>
      </c>
      <c r="G1495" s="1">
        <v>100</v>
      </c>
      <c r="H1495" s="1">
        <v>11</v>
      </c>
    </row>
    <row r="1496" spans="1:8">
      <c r="A1496" s="1" t="s">
        <v>79</v>
      </c>
      <c r="B1496" s="4">
        <v>40738</v>
      </c>
      <c r="C1496" s="1" t="s">
        <v>186</v>
      </c>
      <c r="D1496" s="1" t="s">
        <v>147</v>
      </c>
      <c r="E1496" s="1">
        <v>1</v>
      </c>
      <c r="F1496" s="1" t="s">
        <v>145</v>
      </c>
      <c r="G1496" s="1">
        <v>100</v>
      </c>
      <c r="H1496" s="1">
        <v>10</v>
      </c>
    </row>
    <row r="1497" spans="1:8">
      <c r="A1497" s="1" t="s">
        <v>79</v>
      </c>
      <c r="B1497" s="4">
        <v>40738</v>
      </c>
      <c r="C1497" s="1" t="s">
        <v>186</v>
      </c>
      <c r="D1497" s="1" t="s">
        <v>147</v>
      </c>
      <c r="E1497" s="1">
        <v>1</v>
      </c>
      <c r="F1497" s="1" t="s">
        <v>145</v>
      </c>
      <c r="G1497" s="1">
        <v>114</v>
      </c>
      <c r="H1497" s="1">
        <v>16</v>
      </c>
    </row>
    <row r="1498" spans="1:8">
      <c r="A1498" s="1" t="s">
        <v>79</v>
      </c>
      <c r="B1498" s="4">
        <v>40738</v>
      </c>
      <c r="C1498" s="1" t="s">
        <v>186</v>
      </c>
      <c r="D1498" s="1" t="s">
        <v>147</v>
      </c>
      <c r="E1498" s="1">
        <v>1</v>
      </c>
      <c r="F1498" s="1" t="s">
        <v>145</v>
      </c>
      <c r="G1498" s="1">
        <v>80</v>
      </c>
      <c r="H1498" s="1">
        <v>4.9000000000000004</v>
      </c>
    </row>
    <row r="1499" spans="1:8">
      <c r="A1499" s="1" t="s">
        <v>79</v>
      </c>
      <c r="B1499" s="4">
        <v>40738</v>
      </c>
      <c r="C1499" s="1" t="s">
        <v>186</v>
      </c>
      <c r="D1499" s="1" t="s">
        <v>147</v>
      </c>
      <c r="E1499" s="1">
        <v>1</v>
      </c>
      <c r="F1499" s="1" t="s">
        <v>145</v>
      </c>
      <c r="G1499" s="1">
        <v>110</v>
      </c>
      <c r="H1499" s="1">
        <v>12</v>
      </c>
    </row>
    <row r="1500" spans="1:8">
      <c r="A1500" s="1" t="s">
        <v>79</v>
      </c>
      <c r="B1500" s="4">
        <v>40738</v>
      </c>
      <c r="C1500" s="1" t="s">
        <v>186</v>
      </c>
      <c r="D1500" s="1" t="s">
        <v>147</v>
      </c>
      <c r="E1500" s="1">
        <v>1</v>
      </c>
      <c r="F1500" s="1" t="s">
        <v>145</v>
      </c>
      <c r="G1500" s="1">
        <v>103</v>
      </c>
      <c r="H1500" s="1">
        <v>10</v>
      </c>
    </row>
    <row r="1501" spans="1:8">
      <c r="A1501" s="1" t="s">
        <v>79</v>
      </c>
      <c r="B1501" s="4">
        <v>40738</v>
      </c>
      <c r="C1501" s="1" t="s">
        <v>186</v>
      </c>
      <c r="D1501" s="1" t="s">
        <v>147</v>
      </c>
      <c r="E1501" s="1">
        <v>1</v>
      </c>
      <c r="F1501" s="1" t="s">
        <v>145</v>
      </c>
      <c r="G1501" s="1">
        <v>105</v>
      </c>
      <c r="H1501" s="1">
        <v>11</v>
      </c>
    </row>
    <row r="1502" spans="1:8">
      <c r="A1502" s="1" t="s">
        <v>79</v>
      </c>
      <c r="B1502" s="4">
        <v>40738</v>
      </c>
      <c r="C1502" s="1" t="s">
        <v>186</v>
      </c>
      <c r="D1502" s="1" t="s">
        <v>147</v>
      </c>
      <c r="E1502" s="1">
        <v>1</v>
      </c>
      <c r="F1502" s="1" t="s">
        <v>145</v>
      </c>
      <c r="G1502" s="1">
        <v>106</v>
      </c>
      <c r="H1502" s="1">
        <v>11</v>
      </c>
    </row>
    <row r="1503" spans="1:8">
      <c r="A1503" s="1" t="s">
        <v>79</v>
      </c>
      <c r="B1503" s="4">
        <v>40738</v>
      </c>
      <c r="C1503" s="1" t="s">
        <v>186</v>
      </c>
      <c r="D1503" s="1" t="s">
        <v>147</v>
      </c>
      <c r="E1503" s="1">
        <v>1</v>
      </c>
      <c r="F1503" s="1" t="s">
        <v>145</v>
      </c>
      <c r="G1503" s="1">
        <v>90</v>
      </c>
      <c r="H1503" s="1">
        <v>7</v>
      </c>
    </row>
    <row r="1504" spans="1:8">
      <c r="A1504" s="1" t="s">
        <v>79</v>
      </c>
      <c r="B1504" s="4">
        <v>40738</v>
      </c>
      <c r="C1504" s="1" t="s">
        <v>186</v>
      </c>
      <c r="D1504" s="1" t="s">
        <v>147</v>
      </c>
      <c r="E1504" s="1">
        <v>1</v>
      </c>
      <c r="F1504" s="1" t="s">
        <v>145</v>
      </c>
      <c r="G1504" s="1">
        <v>116</v>
      </c>
      <c r="H1504" s="1">
        <v>15</v>
      </c>
    </row>
    <row r="1505" spans="1:8">
      <c r="A1505" s="1" t="s">
        <v>79</v>
      </c>
      <c r="B1505" s="4">
        <v>40738</v>
      </c>
      <c r="C1505" s="1" t="s">
        <v>186</v>
      </c>
      <c r="D1505" s="1" t="s">
        <v>147</v>
      </c>
      <c r="E1505" s="1">
        <v>1</v>
      </c>
      <c r="F1505" s="1" t="s">
        <v>145</v>
      </c>
      <c r="G1505" s="1">
        <v>108</v>
      </c>
      <c r="H1505" s="1">
        <v>12</v>
      </c>
    </row>
    <row r="1506" spans="1:8">
      <c r="A1506" s="1" t="s">
        <v>79</v>
      </c>
      <c r="B1506" s="4">
        <v>40738</v>
      </c>
      <c r="C1506" s="1" t="s">
        <v>186</v>
      </c>
      <c r="D1506" s="1" t="s">
        <v>147</v>
      </c>
      <c r="E1506" s="1">
        <v>1</v>
      </c>
      <c r="F1506" s="1" t="s">
        <v>145</v>
      </c>
      <c r="G1506" s="1">
        <v>114</v>
      </c>
      <c r="H1506" s="1">
        <v>14</v>
      </c>
    </row>
    <row r="1507" spans="1:8">
      <c r="A1507" s="1" t="s">
        <v>79</v>
      </c>
      <c r="B1507" s="4">
        <v>40738</v>
      </c>
      <c r="C1507" s="1" t="s">
        <v>186</v>
      </c>
      <c r="D1507" s="1" t="s">
        <v>147</v>
      </c>
      <c r="E1507" s="1">
        <v>1</v>
      </c>
      <c r="F1507" s="1" t="s">
        <v>145</v>
      </c>
      <c r="G1507" s="1">
        <v>103</v>
      </c>
      <c r="H1507" s="1">
        <v>10</v>
      </c>
    </row>
    <row r="1508" spans="1:8">
      <c r="A1508" s="1" t="s">
        <v>79</v>
      </c>
      <c r="B1508" s="4">
        <v>40738</v>
      </c>
      <c r="C1508" s="1" t="s">
        <v>186</v>
      </c>
      <c r="D1508" s="1" t="s">
        <v>147</v>
      </c>
      <c r="E1508" s="1">
        <v>2</v>
      </c>
      <c r="F1508" s="1" t="s">
        <v>145</v>
      </c>
      <c r="G1508" s="1">
        <v>105</v>
      </c>
    </row>
    <row r="1509" spans="1:8">
      <c r="A1509" s="1" t="s">
        <v>79</v>
      </c>
      <c r="B1509" s="4">
        <v>40738</v>
      </c>
      <c r="C1509" s="1" t="s">
        <v>186</v>
      </c>
      <c r="D1509" s="1" t="s">
        <v>147</v>
      </c>
      <c r="E1509" s="1">
        <v>2</v>
      </c>
      <c r="F1509" s="1" t="s">
        <v>145</v>
      </c>
      <c r="G1509" s="1">
        <v>110</v>
      </c>
      <c r="H1509" s="1">
        <v>13</v>
      </c>
    </row>
    <row r="1510" spans="1:8">
      <c r="A1510" s="1" t="s">
        <v>79</v>
      </c>
      <c r="B1510" s="4">
        <v>40738</v>
      </c>
      <c r="C1510" s="1" t="s">
        <v>186</v>
      </c>
      <c r="D1510" s="1" t="s">
        <v>147</v>
      </c>
      <c r="E1510" s="1">
        <v>2</v>
      </c>
      <c r="F1510" s="1" t="s">
        <v>145</v>
      </c>
      <c r="G1510" s="1">
        <v>104</v>
      </c>
      <c r="H1510" s="1">
        <v>11</v>
      </c>
    </row>
    <row r="1511" spans="1:8">
      <c r="A1511" s="1" t="s">
        <v>79</v>
      </c>
      <c r="B1511" s="4">
        <v>40738</v>
      </c>
      <c r="C1511" s="1" t="s">
        <v>186</v>
      </c>
      <c r="D1511" s="1" t="s">
        <v>147</v>
      </c>
      <c r="E1511" s="1">
        <v>2</v>
      </c>
      <c r="F1511" s="1" t="s">
        <v>145</v>
      </c>
      <c r="G1511" s="1">
        <v>109</v>
      </c>
      <c r="H1511" s="1">
        <v>12</v>
      </c>
    </row>
    <row r="1512" spans="1:8">
      <c r="A1512" s="1" t="s">
        <v>79</v>
      </c>
      <c r="B1512" s="4">
        <v>40738</v>
      </c>
      <c r="C1512" s="1" t="s">
        <v>186</v>
      </c>
      <c r="D1512" s="1" t="s">
        <v>147</v>
      </c>
      <c r="E1512" s="1">
        <v>2</v>
      </c>
      <c r="F1512" s="1" t="s">
        <v>145</v>
      </c>
      <c r="G1512" s="1">
        <v>114</v>
      </c>
      <c r="H1512" s="1">
        <v>17</v>
      </c>
    </row>
    <row r="1513" spans="1:8">
      <c r="A1513" s="1" t="s">
        <v>79</v>
      </c>
      <c r="B1513" s="4">
        <v>40738</v>
      </c>
      <c r="C1513" s="1" t="s">
        <v>186</v>
      </c>
      <c r="D1513" s="1" t="s">
        <v>147</v>
      </c>
      <c r="E1513" s="1">
        <v>2</v>
      </c>
      <c r="F1513" s="1" t="s">
        <v>145</v>
      </c>
      <c r="G1513" s="1">
        <v>120</v>
      </c>
      <c r="H1513" s="1">
        <v>18</v>
      </c>
    </row>
    <row r="1514" spans="1:8">
      <c r="A1514" s="1" t="s">
        <v>79</v>
      </c>
      <c r="B1514" s="4">
        <v>40738</v>
      </c>
      <c r="C1514" s="1" t="s">
        <v>186</v>
      </c>
      <c r="D1514" s="1" t="s">
        <v>147</v>
      </c>
      <c r="E1514" s="1">
        <v>2</v>
      </c>
      <c r="F1514" s="1" t="s">
        <v>145</v>
      </c>
      <c r="G1514" s="1">
        <v>95</v>
      </c>
      <c r="H1514" s="1">
        <v>9.5</v>
      </c>
    </row>
    <row r="1515" spans="1:8">
      <c r="A1515" s="1" t="s">
        <v>79</v>
      </c>
      <c r="B1515" s="4">
        <v>40738</v>
      </c>
      <c r="C1515" s="1" t="s">
        <v>186</v>
      </c>
      <c r="D1515" s="1" t="s">
        <v>147</v>
      </c>
      <c r="E1515" s="1">
        <v>2</v>
      </c>
      <c r="F1515" s="1" t="s">
        <v>145</v>
      </c>
      <c r="G1515" s="1">
        <v>105</v>
      </c>
      <c r="H1515" s="1">
        <v>12</v>
      </c>
    </row>
    <row r="1516" spans="1:8">
      <c r="A1516" s="1" t="s">
        <v>79</v>
      </c>
      <c r="B1516" s="4">
        <v>40738</v>
      </c>
      <c r="C1516" s="1" t="s">
        <v>186</v>
      </c>
      <c r="D1516" s="1" t="s">
        <v>147</v>
      </c>
      <c r="E1516" s="1">
        <v>2</v>
      </c>
      <c r="F1516" s="1" t="s">
        <v>145</v>
      </c>
      <c r="G1516" s="1">
        <v>120</v>
      </c>
      <c r="H1516" s="1">
        <v>16</v>
      </c>
    </row>
    <row r="1517" spans="1:8">
      <c r="A1517" s="1" t="s">
        <v>79</v>
      </c>
      <c r="B1517" s="4">
        <v>40738</v>
      </c>
      <c r="C1517" s="1" t="s">
        <v>186</v>
      </c>
      <c r="D1517" s="1" t="s">
        <v>147</v>
      </c>
      <c r="E1517" s="1">
        <v>2</v>
      </c>
      <c r="F1517" s="1" t="s">
        <v>145</v>
      </c>
      <c r="G1517" s="1">
        <v>104</v>
      </c>
      <c r="H1517" s="1">
        <v>11</v>
      </c>
    </row>
    <row r="1518" spans="1:8">
      <c r="A1518" s="1" t="s">
        <v>79</v>
      </c>
      <c r="B1518" s="4">
        <v>40738</v>
      </c>
      <c r="C1518" s="1" t="s">
        <v>186</v>
      </c>
      <c r="D1518" s="1" t="s">
        <v>147</v>
      </c>
      <c r="E1518" s="1">
        <v>2</v>
      </c>
      <c r="F1518" s="1" t="s">
        <v>145</v>
      </c>
      <c r="G1518" s="1">
        <v>98</v>
      </c>
      <c r="H1518" s="1">
        <v>9</v>
      </c>
    </row>
    <row r="1519" spans="1:8">
      <c r="A1519" s="1" t="s">
        <v>79</v>
      </c>
      <c r="B1519" s="4">
        <v>40738</v>
      </c>
      <c r="C1519" s="1" t="s">
        <v>186</v>
      </c>
      <c r="D1519" s="1" t="s">
        <v>147</v>
      </c>
      <c r="E1519" s="1">
        <v>2</v>
      </c>
      <c r="F1519" s="1" t="s">
        <v>145</v>
      </c>
      <c r="G1519" s="1">
        <v>113</v>
      </c>
      <c r="H1519" s="1">
        <v>13</v>
      </c>
    </row>
    <row r="1520" spans="1:8">
      <c r="A1520" s="1" t="s">
        <v>79</v>
      </c>
      <c r="B1520" s="4">
        <v>40738</v>
      </c>
      <c r="C1520" s="1" t="s">
        <v>186</v>
      </c>
      <c r="D1520" s="1" t="s">
        <v>147</v>
      </c>
      <c r="E1520" s="1">
        <v>2</v>
      </c>
      <c r="F1520" s="1" t="s">
        <v>145</v>
      </c>
      <c r="G1520" s="1">
        <v>105</v>
      </c>
      <c r="H1520" s="1">
        <v>12</v>
      </c>
    </row>
    <row r="1521" spans="1:8">
      <c r="A1521" s="1" t="s">
        <v>79</v>
      </c>
      <c r="B1521" s="4">
        <v>40738</v>
      </c>
      <c r="C1521" s="1" t="s">
        <v>186</v>
      </c>
      <c r="D1521" s="1" t="s">
        <v>147</v>
      </c>
      <c r="E1521" s="1">
        <v>2</v>
      </c>
      <c r="F1521" s="1" t="s">
        <v>145</v>
      </c>
      <c r="G1521" s="1">
        <v>115</v>
      </c>
      <c r="H1521" s="1">
        <v>15</v>
      </c>
    </row>
    <row r="1522" spans="1:8">
      <c r="A1522" s="1" t="s">
        <v>79</v>
      </c>
      <c r="B1522" s="4">
        <v>40738</v>
      </c>
      <c r="C1522" s="1" t="s">
        <v>186</v>
      </c>
      <c r="D1522" s="1" t="s">
        <v>147</v>
      </c>
      <c r="E1522" s="1">
        <v>2</v>
      </c>
      <c r="F1522" s="1" t="s">
        <v>145</v>
      </c>
      <c r="G1522" s="1">
        <v>120</v>
      </c>
      <c r="H1522" s="1">
        <v>16</v>
      </c>
    </row>
    <row r="1523" spans="1:8">
      <c r="A1523" s="1" t="s">
        <v>79</v>
      </c>
      <c r="B1523" s="4">
        <v>40738</v>
      </c>
      <c r="C1523" s="1" t="s">
        <v>186</v>
      </c>
      <c r="D1523" s="1" t="s">
        <v>147</v>
      </c>
      <c r="E1523" s="1">
        <v>2</v>
      </c>
      <c r="F1523" s="1" t="s">
        <v>145</v>
      </c>
      <c r="G1523" s="1">
        <v>103</v>
      </c>
      <c r="H1523" s="1">
        <v>11</v>
      </c>
    </row>
    <row r="1524" spans="1:8">
      <c r="A1524" s="1" t="s">
        <v>79</v>
      </c>
      <c r="B1524" s="4">
        <v>40738</v>
      </c>
      <c r="C1524" s="1" t="s">
        <v>186</v>
      </c>
      <c r="D1524" s="1" t="s">
        <v>147</v>
      </c>
      <c r="E1524" s="1">
        <v>2</v>
      </c>
      <c r="F1524" s="1" t="s">
        <v>145</v>
      </c>
      <c r="G1524" s="1">
        <v>120</v>
      </c>
      <c r="H1524" s="1">
        <v>16</v>
      </c>
    </row>
    <row r="1525" spans="1:8">
      <c r="A1525" s="1" t="s">
        <v>79</v>
      </c>
      <c r="B1525" s="4">
        <v>40738</v>
      </c>
      <c r="C1525" s="1" t="s">
        <v>186</v>
      </c>
      <c r="D1525" s="1" t="s">
        <v>147</v>
      </c>
      <c r="E1525" s="1">
        <v>2</v>
      </c>
      <c r="F1525" s="1" t="s">
        <v>145</v>
      </c>
      <c r="G1525" s="1">
        <v>118</v>
      </c>
      <c r="H1525" s="1">
        <v>17</v>
      </c>
    </row>
    <row r="1526" spans="1:8">
      <c r="A1526" s="1" t="s">
        <v>79</v>
      </c>
      <c r="B1526" s="4">
        <v>40738</v>
      </c>
      <c r="C1526" s="1" t="s">
        <v>186</v>
      </c>
      <c r="D1526" s="1" t="s">
        <v>147</v>
      </c>
      <c r="E1526" s="1">
        <v>2</v>
      </c>
      <c r="F1526" s="1" t="s">
        <v>145</v>
      </c>
      <c r="G1526" s="1">
        <v>98</v>
      </c>
      <c r="H1526" s="1">
        <v>10</v>
      </c>
    </row>
    <row r="1527" spans="1:8">
      <c r="A1527" s="1" t="s">
        <v>79</v>
      </c>
      <c r="B1527" s="4">
        <v>40738</v>
      </c>
      <c r="C1527" s="1" t="s">
        <v>186</v>
      </c>
      <c r="D1527" s="1" t="s">
        <v>147</v>
      </c>
      <c r="E1527" s="1">
        <v>2</v>
      </c>
      <c r="F1527" s="1" t="s">
        <v>145</v>
      </c>
      <c r="G1527" s="1">
        <v>120</v>
      </c>
      <c r="H1527" s="1">
        <v>17</v>
      </c>
    </row>
    <row r="1528" spans="1:8">
      <c r="A1528" s="1" t="s">
        <v>79</v>
      </c>
      <c r="B1528" s="4">
        <v>40738</v>
      </c>
      <c r="C1528" s="1" t="s">
        <v>186</v>
      </c>
      <c r="D1528" s="1" t="s">
        <v>150</v>
      </c>
      <c r="E1528" s="1">
        <v>1</v>
      </c>
      <c r="F1528" s="1" t="s">
        <v>145</v>
      </c>
      <c r="G1528" s="1">
        <v>101</v>
      </c>
      <c r="H1528" s="1">
        <v>7.5</v>
      </c>
    </row>
    <row r="1529" spans="1:8">
      <c r="A1529" s="1" t="s">
        <v>79</v>
      </c>
      <c r="B1529" s="4">
        <v>40738</v>
      </c>
      <c r="C1529" s="1" t="s">
        <v>186</v>
      </c>
      <c r="D1529" s="1" t="s">
        <v>150</v>
      </c>
      <c r="E1529" s="1">
        <v>1</v>
      </c>
      <c r="F1529" s="1" t="s">
        <v>145</v>
      </c>
      <c r="G1529" s="1">
        <v>103</v>
      </c>
      <c r="H1529" s="1">
        <v>10</v>
      </c>
    </row>
    <row r="1530" spans="1:8">
      <c r="A1530" s="1" t="s">
        <v>79</v>
      </c>
      <c r="B1530" s="4">
        <v>40738</v>
      </c>
      <c r="C1530" s="1" t="s">
        <v>186</v>
      </c>
      <c r="D1530" s="1" t="s">
        <v>150</v>
      </c>
      <c r="E1530" s="1">
        <v>1</v>
      </c>
      <c r="F1530" s="1" t="s">
        <v>145</v>
      </c>
      <c r="G1530" s="1">
        <v>130</v>
      </c>
      <c r="H1530" s="1">
        <v>19.5</v>
      </c>
    </row>
    <row r="1531" spans="1:8">
      <c r="A1531" s="1" t="s">
        <v>79</v>
      </c>
      <c r="B1531" s="4">
        <v>40738</v>
      </c>
      <c r="C1531" s="1" t="s">
        <v>186</v>
      </c>
      <c r="D1531" s="1" t="s">
        <v>150</v>
      </c>
      <c r="E1531" s="1">
        <v>1</v>
      </c>
      <c r="F1531" s="1" t="s">
        <v>145</v>
      </c>
      <c r="G1531" s="1">
        <v>107</v>
      </c>
      <c r="H1531" s="1">
        <v>10</v>
      </c>
    </row>
    <row r="1532" spans="1:8">
      <c r="A1532" s="1" t="s">
        <v>79</v>
      </c>
      <c r="B1532" s="4">
        <v>40738</v>
      </c>
      <c r="C1532" s="1" t="s">
        <v>186</v>
      </c>
      <c r="D1532" s="1" t="s">
        <v>150</v>
      </c>
      <c r="E1532" s="1">
        <v>1</v>
      </c>
      <c r="F1532" s="1" t="s">
        <v>145</v>
      </c>
      <c r="G1532" s="1">
        <v>100</v>
      </c>
      <c r="H1532" s="1">
        <v>7.5</v>
      </c>
    </row>
    <row r="1533" spans="1:8">
      <c r="A1533" s="1" t="s">
        <v>79</v>
      </c>
      <c r="B1533" s="4">
        <v>40738</v>
      </c>
      <c r="C1533" s="1" t="s">
        <v>186</v>
      </c>
      <c r="D1533" s="1" t="s">
        <v>150</v>
      </c>
      <c r="E1533" s="1">
        <v>1</v>
      </c>
      <c r="F1533" s="1" t="s">
        <v>145</v>
      </c>
      <c r="G1533" s="1">
        <v>95</v>
      </c>
      <c r="H1533" s="1">
        <v>8.5</v>
      </c>
    </row>
    <row r="1534" spans="1:8">
      <c r="A1534" s="1" t="s">
        <v>79</v>
      </c>
      <c r="B1534" s="4">
        <v>40738</v>
      </c>
      <c r="C1534" s="1" t="s">
        <v>186</v>
      </c>
      <c r="D1534" s="1" t="s">
        <v>150</v>
      </c>
      <c r="E1534" s="1">
        <v>1</v>
      </c>
      <c r="F1534" s="1" t="s">
        <v>145</v>
      </c>
      <c r="G1534" s="1">
        <v>111</v>
      </c>
      <c r="H1534" s="1">
        <v>14.5</v>
      </c>
    </row>
    <row r="1535" spans="1:8">
      <c r="A1535" s="1" t="s">
        <v>79</v>
      </c>
      <c r="B1535" s="4">
        <v>40738</v>
      </c>
      <c r="C1535" s="1" t="s">
        <v>186</v>
      </c>
      <c r="D1535" s="1" t="s">
        <v>150</v>
      </c>
      <c r="E1535" s="1">
        <v>1</v>
      </c>
      <c r="F1535" s="1" t="s">
        <v>145</v>
      </c>
      <c r="G1535" s="1">
        <v>121</v>
      </c>
      <c r="H1535" s="1">
        <v>15.5</v>
      </c>
    </row>
    <row r="1536" spans="1:8">
      <c r="A1536" s="1" t="s">
        <v>79</v>
      </c>
      <c r="B1536" s="4">
        <v>40738</v>
      </c>
      <c r="C1536" s="1" t="s">
        <v>186</v>
      </c>
      <c r="D1536" s="1" t="s">
        <v>150</v>
      </c>
      <c r="E1536" s="1">
        <v>1</v>
      </c>
      <c r="F1536" s="1" t="s">
        <v>145</v>
      </c>
      <c r="G1536" s="1">
        <v>150</v>
      </c>
    </row>
    <row r="1537" spans="1:8">
      <c r="A1537" s="1" t="s">
        <v>79</v>
      </c>
      <c r="B1537" s="4">
        <v>40738</v>
      </c>
      <c r="C1537" s="1" t="s">
        <v>186</v>
      </c>
      <c r="D1537" s="1" t="s">
        <v>150</v>
      </c>
      <c r="E1537" s="1">
        <v>1</v>
      </c>
      <c r="F1537" s="1" t="s">
        <v>145</v>
      </c>
      <c r="G1537" s="1">
        <v>104</v>
      </c>
      <c r="H1537" s="1">
        <v>7</v>
      </c>
    </row>
    <row r="1538" spans="1:8">
      <c r="A1538" s="1" t="s">
        <v>79</v>
      </c>
      <c r="B1538" s="4">
        <v>40738</v>
      </c>
      <c r="C1538" s="1" t="s">
        <v>186</v>
      </c>
      <c r="D1538" s="1" t="s">
        <v>150</v>
      </c>
      <c r="E1538" s="1">
        <v>1</v>
      </c>
      <c r="F1538" s="1" t="s">
        <v>145</v>
      </c>
      <c r="G1538" s="1">
        <v>113</v>
      </c>
      <c r="H1538" s="1">
        <v>14.5</v>
      </c>
    </row>
    <row r="1539" spans="1:8">
      <c r="A1539" s="1" t="s">
        <v>79</v>
      </c>
      <c r="B1539" s="4">
        <v>40738</v>
      </c>
      <c r="C1539" s="1" t="s">
        <v>186</v>
      </c>
      <c r="D1539" s="1" t="s">
        <v>150</v>
      </c>
      <c r="E1539" s="1">
        <v>1</v>
      </c>
      <c r="F1539" s="1" t="s">
        <v>145</v>
      </c>
      <c r="G1539" s="1">
        <v>107</v>
      </c>
      <c r="H1539" s="1">
        <v>14.5</v>
      </c>
    </row>
    <row r="1540" spans="1:8">
      <c r="A1540" s="1" t="s">
        <v>79</v>
      </c>
      <c r="B1540" s="4">
        <v>40738</v>
      </c>
      <c r="C1540" s="1" t="s">
        <v>186</v>
      </c>
      <c r="D1540" s="1" t="s">
        <v>150</v>
      </c>
      <c r="E1540" s="1">
        <v>1</v>
      </c>
      <c r="F1540" s="1" t="s">
        <v>145</v>
      </c>
      <c r="G1540" s="1">
        <v>112</v>
      </c>
      <c r="H1540" s="1">
        <v>11.5</v>
      </c>
    </row>
    <row r="1541" spans="1:8">
      <c r="A1541" s="1" t="s">
        <v>79</v>
      </c>
      <c r="B1541" s="4">
        <v>40738</v>
      </c>
      <c r="C1541" s="1" t="s">
        <v>186</v>
      </c>
      <c r="D1541" s="1" t="s">
        <v>150</v>
      </c>
      <c r="E1541" s="1">
        <v>1</v>
      </c>
      <c r="F1541" s="1" t="s">
        <v>145</v>
      </c>
      <c r="G1541" s="1">
        <v>110</v>
      </c>
      <c r="H1541" s="1">
        <v>11</v>
      </c>
    </row>
    <row r="1542" spans="1:8">
      <c r="A1542" s="1" t="s">
        <v>79</v>
      </c>
      <c r="B1542" s="4">
        <v>40738</v>
      </c>
      <c r="C1542" s="1" t="s">
        <v>186</v>
      </c>
      <c r="D1542" s="1" t="s">
        <v>150</v>
      </c>
      <c r="E1542" s="1">
        <v>1</v>
      </c>
      <c r="F1542" s="1" t="s">
        <v>145</v>
      </c>
      <c r="G1542" s="1">
        <v>116</v>
      </c>
      <c r="H1542" s="1">
        <v>12.5</v>
      </c>
    </row>
    <row r="1543" spans="1:8">
      <c r="A1543" s="1" t="s">
        <v>79</v>
      </c>
      <c r="B1543" s="4">
        <v>40738</v>
      </c>
      <c r="C1543" s="1" t="s">
        <v>186</v>
      </c>
      <c r="D1543" s="1" t="s">
        <v>150</v>
      </c>
      <c r="E1543" s="1">
        <v>1</v>
      </c>
      <c r="F1543" s="1" t="s">
        <v>145</v>
      </c>
      <c r="G1543" s="1">
        <v>116</v>
      </c>
      <c r="H1543" s="1">
        <v>15</v>
      </c>
    </row>
    <row r="1544" spans="1:8">
      <c r="A1544" s="1" t="s">
        <v>79</v>
      </c>
      <c r="B1544" s="4">
        <v>40738</v>
      </c>
      <c r="C1544" s="1" t="s">
        <v>186</v>
      </c>
      <c r="D1544" s="1" t="s">
        <v>150</v>
      </c>
      <c r="E1544" s="1">
        <v>1</v>
      </c>
      <c r="F1544" s="1" t="s">
        <v>145</v>
      </c>
      <c r="G1544" s="1">
        <v>110</v>
      </c>
      <c r="H1544" s="1">
        <v>11</v>
      </c>
    </row>
    <row r="1545" spans="1:8">
      <c r="A1545" s="1" t="s">
        <v>79</v>
      </c>
      <c r="B1545" s="4">
        <v>40738</v>
      </c>
      <c r="C1545" s="1" t="s">
        <v>186</v>
      </c>
      <c r="D1545" s="1" t="s">
        <v>150</v>
      </c>
      <c r="E1545" s="1">
        <v>1</v>
      </c>
      <c r="F1545" s="1" t="s">
        <v>145</v>
      </c>
      <c r="G1545" s="1">
        <v>117</v>
      </c>
      <c r="H1545" s="1">
        <v>14</v>
      </c>
    </row>
    <row r="1546" spans="1:8">
      <c r="A1546" s="1" t="s">
        <v>79</v>
      </c>
      <c r="B1546" s="4">
        <v>40738</v>
      </c>
      <c r="C1546" s="1" t="s">
        <v>186</v>
      </c>
      <c r="D1546" s="1" t="s">
        <v>150</v>
      </c>
      <c r="E1546" s="1">
        <v>1</v>
      </c>
      <c r="F1546" s="1" t="s">
        <v>145</v>
      </c>
      <c r="G1546" s="1">
        <v>117</v>
      </c>
      <c r="H1546" s="1">
        <v>13</v>
      </c>
    </row>
    <row r="1547" spans="1:8">
      <c r="A1547" s="1" t="s">
        <v>79</v>
      </c>
      <c r="B1547" s="4">
        <v>40738</v>
      </c>
      <c r="C1547" s="1" t="s">
        <v>186</v>
      </c>
      <c r="D1547" s="1" t="s">
        <v>150</v>
      </c>
      <c r="E1547" s="1">
        <v>1</v>
      </c>
      <c r="F1547" s="1" t="s">
        <v>145</v>
      </c>
      <c r="G1547" s="1">
        <v>110</v>
      </c>
      <c r="H1547" s="1">
        <v>11</v>
      </c>
    </row>
    <row r="1548" spans="1:8">
      <c r="A1548" s="1" t="s">
        <v>79</v>
      </c>
      <c r="B1548" s="4">
        <v>40738</v>
      </c>
      <c r="C1548" s="1" t="s">
        <v>186</v>
      </c>
      <c r="D1548" s="1" t="s">
        <v>150</v>
      </c>
      <c r="E1548" s="1">
        <v>1</v>
      </c>
      <c r="F1548" s="1" t="s">
        <v>145</v>
      </c>
      <c r="G1548" s="1">
        <v>109</v>
      </c>
      <c r="H1548" s="1">
        <v>10.5</v>
      </c>
    </row>
    <row r="1549" spans="1:8">
      <c r="A1549" s="1" t="s">
        <v>79</v>
      </c>
      <c r="B1549" s="4">
        <v>40738</v>
      </c>
      <c r="C1549" s="1" t="s">
        <v>186</v>
      </c>
      <c r="D1549" s="1" t="s">
        <v>150</v>
      </c>
      <c r="E1549" s="1">
        <v>1</v>
      </c>
      <c r="F1549" s="1" t="s">
        <v>145</v>
      </c>
      <c r="G1549" s="1">
        <v>119</v>
      </c>
      <c r="H1549" s="1">
        <v>12</v>
      </c>
    </row>
    <row r="1550" spans="1:8">
      <c r="A1550" s="1" t="s">
        <v>79</v>
      </c>
      <c r="B1550" s="4">
        <v>40738</v>
      </c>
      <c r="C1550" s="1" t="s">
        <v>186</v>
      </c>
      <c r="D1550" s="1" t="s">
        <v>150</v>
      </c>
      <c r="E1550" s="1">
        <v>1</v>
      </c>
      <c r="F1550" s="1" t="s">
        <v>145</v>
      </c>
      <c r="G1550" s="1">
        <v>116</v>
      </c>
      <c r="H1550" s="1">
        <v>12.5</v>
      </c>
    </row>
    <row r="1551" spans="1:8">
      <c r="A1551" s="1" t="s">
        <v>79</v>
      </c>
      <c r="B1551" s="4">
        <v>40738</v>
      </c>
      <c r="C1551" s="1" t="s">
        <v>186</v>
      </c>
      <c r="D1551" s="1" t="s">
        <v>150</v>
      </c>
      <c r="E1551" s="1">
        <v>1</v>
      </c>
      <c r="F1551" s="1" t="s">
        <v>145</v>
      </c>
      <c r="G1551" s="1">
        <v>109</v>
      </c>
      <c r="H1551" s="1">
        <v>9.5</v>
      </c>
    </row>
    <row r="1552" spans="1:8">
      <c r="A1552" s="1" t="s">
        <v>79</v>
      </c>
      <c r="B1552" s="4">
        <v>40738</v>
      </c>
      <c r="C1552" s="1" t="s">
        <v>186</v>
      </c>
      <c r="D1552" s="1" t="s">
        <v>150</v>
      </c>
      <c r="E1552" s="1">
        <v>1</v>
      </c>
      <c r="F1552" s="1" t="s">
        <v>145</v>
      </c>
      <c r="G1552" s="1">
        <v>120</v>
      </c>
      <c r="H1552" s="1">
        <v>18</v>
      </c>
    </row>
    <row r="1553" spans="1:8">
      <c r="A1553" s="1" t="s">
        <v>79</v>
      </c>
      <c r="B1553" s="4">
        <v>40738</v>
      </c>
      <c r="C1553" s="1" t="s">
        <v>186</v>
      </c>
      <c r="D1553" s="1" t="s">
        <v>150</v>
      </c>
      <c r="E1553" s="1">
        <v>1</v>
      </c>
      <c r="F1553" s="1" t="s">
        <v>145</v>
      </c>
      <c r="G1553" s="1">
        <v>116</v>
      </c>
      <c r="H1553" s="1">
        <v>11</v>
      </c>
    </row>
    <row r="1554" spans="1:8">
      <c r="A1554" s="1" t="s">
        <v>79</v>
      </c>
      <c r="B1554" s="4">
        <v>40738</v>
      </c>
      <c r="C1554" s="1" t="s">
        <v>186</v>
      </c>
      <c r="D1554" s="1" t="s">
        <v>150</v>
      </c>
      <c r="E1554" s="1">
        <v>1</v>
      </c>
      <c r="F1554" s="1" t="s">
        <v>145</v>
      </c>
      <c r="G1554" s="1">
        <v>106</v>
      </c>
      <c r="H1554" s="1">
        <v>9.5</v>
      </c>
    </row>
    <row r="1555" spans="1:8">
      <c r="A1555" s="1" t="s">
        <v>79</v>
      </c>
      <c r="B1555" s="4">
        <v>40738</v>
      </c>
      <c r="C1555" s="1" t="s">
        <v>186</v>
      </c>
      <c r="D1555" s="1" t="s">
        <v>150</v>
      </c>
      <c r="E1555" s="1">
        <v>1</v>
      </c>
      <c r="F1555" s="1" t="s">
        <v>145</v>
      </c>
      <c r="G1555" s="1">
        <v>106</v>
      </c>
      <c r="H1555" s="1">
        <v>10</v>
      </c>
    </row>
    <row r="1556" spans="1:8">
      <c r="A1556" s="1" t="s">
        <v>79</v>
      </c>
      <c r="B1556" s="4">
        <v>40738</v>
      </c>
      <c r="C1556" s="1" t="s">
        <v>186</v>
      </c>
      <c r="D1556" s="1" t="s">
        <v>150</v>
      </c>
      <c r="E1556" s="1">
        <v>1</v>
      </c>
      <c r="F1556" s="1" t="s">
        <v>145</v>
      </c>
      <c r="G1556" s="1">
        <v>105</v>
      </c>
      <c r="H1556" s="1">
        <v>9</v>
      </c>
    </row>
    <row r="1557" spans="1:8">
      <c r="A1557" s="1" t="s">
        <v>79</v>
      </c>
      <c r="B1557" s="4">
        <v>40738</v>
      </c>
      <c r="C1557" s="1" t="s">
        <v>186</v>
      </c>
      <c r="D1557" s="1" t="s">
        <v>150</v>
      </c>
      <c r="E1557" s="1">
        <v>1</v>
      </c>
      <c r="F1557" s="1" t="s">
        <v>145</v>
      </c>
      <c r="G1557" s="1">
        <v>107</v>
      </c>
      <c r="H1557" s="1">
        <v>9.5</v>
      </c>
    </row>
    <row r="1558" spans="1:8">
      <c r="A1558" s="1" t="s">
        <v>79</v>
      </c>
      <c r="B1558" s="4">
        <v>40738</v>
      </c>
      <c r="C1558" s="1" t="s">
        <v>186</v>
      </c>
      <c r="D1558" s="1" t="s">
        <v>150</v>
      </c>
      <c r="E1558" s="1">
        <v>1</v>
      </c>
      <c r="F1558" s="1" t="s">
        <v>145</v>
      </c>
      <c r="G1558" s="1">
        <v>125</v>
      </c>
      <c r="H1558" s="1">
        <v>16</v>
      </c>
    </row>
    <row r="1559" spans="1:8">
      <c r="A1559" s="1" t="s">
        <v>79</v>
      </c>
      <c r="B1559" s="4">
        <v>40738</v>
      </c>
      <c r="C1559" s="1" t="s">
        <v>186</v>
      </c>
      <c r="D1559" s="1" t="s">
        <v>150</v>
      </c>
      <c r="E1559" s="1">
        <v>1</v>
      </c>
      <c r="F1559" s="1" t="s">
        <v>145</v>
      </c>
      <c r="G1559" s="1">
        <v>115</v>
      </c>
      <c r="H1559" s="1">
        <v>11</v>
      </c>
    </row>
    <row r="1560" spans="1:8">
      <c r="A1560" s="1" t="s">
        <v>79</v>
      </c>
      <c r="B1560" s="4">
        <v>40738</v>
      </c>
      <c r="C1560" s="1" t="s">
        <v>186</v>
      </c>
      <c r="D1560" s="1" t="s">
        <v>150</v>
      </c>
      <c r="E1560" s="1">
        <v>1</v>
      </c>
      <c r="F1560" s="1" t="s">
        <v>145</v>
      </c>
      <c r="G1560" s="1">
        <v>95</v>
      </c>
    </row>
    <row r="1561" spans="1:8">
      <c r="A1561" s="1" t="s">
        <v>79</v>
      </c>
      <c r="B1561" s="4">
        <v>40738</v>
      </c>
      <c r="C1561" s="1" t="s">
        <v>186</v>
      </c>
      <c r="D1561" s="1" t="s">
        <v>150</v>
      </c>
      <c r="E1561" s="1">
        <v>2</v>
      </c>
      <c r="F1561" s="1" t="s">
        <v>145</v>
      </c>
      <c r="G1561" s="1">
        <v>100</v>
      </c>
      <c r="H1561" s="1">
        <v>9.5</v>
      </c>
    </row>
    <row r="1562" spans="1:8">
      <c r="A1562" s="1" t="s">
        <v>79</v>
      </c>
      <c r="B1562" s="4">
        <v>40738</v>
      </c>
      <c r="C1562" s="1" t="s">
        <v>186</v>
      </c>
      <c r="D1562" s="1" t="s">
        <v>150</v>
      </c>
      <c r="E1562" s="1">
        <v>2</v>
      </c>
      <c r="F1562" s="1" t="s">
        <v>145</v>
      </c>
      <c r="G1562" s="1">
        <v>114</v>
      </c>
      <c r="H1562" s="1">
        <v>14</v>
      </c>
    </row>
    <row r="1563" spans="1:8">
      <c r="A1563" s="1" t="s">
        <v>79</v>
      </c>
      <c r="B1563" s="4">
        <v>40738</v>
      </c>
      <c r="C1563" s="1" t="s">
        <v>186</v>
      </c>
      <c r="D1563" s="1" t="s">
        <v>150</v>
      </c>
      <c r="E1563" s="1">
        <v>2</v>
      </c>
      <c r="F1563" s="1" t="s">
        <v>145</v>
      </c>
      <c r="G1563" s="1">
        <v>110</v>
      </c>
      <c r="H1563" s="1">
        <v>13</v>
      </c>
    </row>
    <row r="1564" spans="1:8">
      <c r="A1564" s="1" t="s">
        <v>79</v>
      </c>
      <c r="B1564" s="4">
        <v>40738</v>
      </c>
      <c r="C1564" s="1" t="s">
        <v>186</v>
      </c>
      <c r="D1564" s="1" t="s">
        <v>150</v>
      </c>
      <c r="E1564" s="1">
        <v>2</v>
      </c>
      <c r="F1564" s="1" t="s">
        <v>145</v>
      </c>
      <c r="G1564" s="1">
        <v>97</v>
      </c>
      <c r="H1564" s="1">
        <v>11</v>
      </c>
    </row>
    <row r="1565" spans="1:8">
      <c r="A1565" s="1" t="s">
        <v>79</v>
      </c>
      <c r="B1565" s="4">
        <v>40738</v>
      </c>
      <c r="C1565" s="1" t="s">
        <v>186</v>
      </c>
      <c r="D1565" s="1" t="s">
        <v>150</v>
      </c>
      <c r="E1565" s="1">
        <v>2</v>
      </c>
      <c r="F1565" s="1" t="s">
        <v>145</v>
      </c>
      <c r="G1565" s="1">
        <v>100</v>
      </c>
      <c r="H1565" s="1">
        <v>9</v>
      </c>
    </row>
    <row r="1566" spans="1:8">
      <c r="A1566" s="1" t="s">
        <v>79</v>
      </c>
      <c r="B1566" s="4">
        <v>40738</v>
      </c>
      <c r="C1566" s="1" t="s">
        <v>186</v>
      </c>
      <c r="D1566" s="1" t="s">
        <v>150</v>
      </c>
      <c r="E1566" s="1">
        <v>2</v>
      </c>
      <c r="F1566" s="1" t="s">
        <v>145</v>
      </c>
      <c r="G1566" s="1">
        <v>105</v>
      </c>
      <c r="H1566" s="1">
        <v>11</v>
      </c>
    </row>
    <row r="1567" spans="1:8">
      <c r="A1567" s="1" t="s">
        <v>79</v>
      </c>
      <c r="B1567" s="4">
        <v>40738</v>
      </c>
      <c r="C1567" s="1" t="s">
        <v>186</v>
      </c>
      <c r="D1567" s="1" t="s">
        <v>150</v>
      </c>
      <c r="E1567" s="1">
        <v>2</v>
      </c>
      <c r="F1567" s="1" t="s">
        <v>145</v>
      </c>
      <c r="G1567" s="1">
        <v>119</v>
      </c>
      <c r="H1567" s="1">
        <v>15</v>
      </c>
    </row>
    <row r="1568" spans="1:8">
      <c r="A1568" s="1" t="s">
        <v>79</v>
      </c>
      <c r="B1568" s="4">
        <v>40738</v>
      </c>
      <c r="C1568" s="1" t="s">
        <v>186</v>
      </c>
      <c r="D1568" s="1" t="s">
        <v>150</v>
      </c>
      <c r="E1568" s="1">
        <v>2</v>
      </c>
      <c r="F1568" s="1" t="s">
        <v>145</v>
      </c>
      <c r="G1568" s="1">
        <v>105</v>
      </c>
      <c r="H1568" s="1">
        <v>12</v>
      </c>
    </row>
    <row r="1569" spans="1:10">
      <c r="A1569" s="1" t="s">
        <v>79</v>
      </c>
      <c r="B1569" s="4">
        <v>40738</v>
      </c>
      <c r="C1569" s="1" t="s">
        <v>186</v>
      </c>
      <c r="D1569" s="1" t="s">
        <v>150</v>
      </c>
      <c r="E1569" s="1">
        <v>2</v>
      </c>
      <c r="F1569" s="1" t="s">
        <v>145</v>
      </c>
      <c r="G1569" s="1">
        <v>100</v>
      </c>
      <c r="H1569" s="1">
        <v>10</v>
      </c>
    </row>
    <row r="1570" spans="1:10">
      <c r="A1570" s="1" t="s">
        <v>79</v>
      </c>
      <c r="B1570" s="4">
        <v>40738</v>
      </c>
      <c r="C1570" s="1" t="s">
        <v>186</v>
      </c>
      <c r="D1570" s="1" t="s">
        <v>150</v>
      </c>
      <c r="E1570" s="1">
        <v>2</v>
      </c>
      <c r="F1570" s="1" t="s">
        <v>145</v>
      </c>
      <c r="G1570" s="1">
        <v>107</v>
      </c>
    </row>
    <row r="1571" spans="1:10">
      <c r="A1571" s="1" t="s">
        <v>79</v>
      </c>
      <c r="B1571" s="4">
        <v>40738</v>
      </c>
      <c r="C1571" s="1" t="s">
        <v>186</v>
      </c>
      <c r="D1571" s="1" t="s">
        <v>150</v>
      </c>
      <c r="E1571" s="1">
        <v>2</v>
      </c>
      <c r="F1571" s="1" t="s">
        <v>145</v>
      </c>
      <c r="G1571" s="1">
        <v>104</v>
      </c>
      <c r="H1571" s="1">
        <v>11</v>
      </c>
    </row>
    <row r="1572" spans="1:10">
      <c r="A1572" s="1" t="s">
        <v>79</v>
      </c>
      <c r="B1572" s="4">
        <v>40738</v>
      </c>
      <c r="C1572" s="1" t="s">
        <v>186</v>
      </c>
      <c r="D1572" s="1" t="s">
        <v>150</v>
      </c>
      <c r="E1572" s="1">
        <v>2</v>
      </c>
      <c r="F1572" s="1" t="s">
        <v>145</v>
      </c>
      <c r="G1572" s="1">
        <v>103</v>
      </c>
      <c r="H1572" s="1">
        <v>9.5</v>
      </c>
    </row>
    <row r="1573" spans="1:10">
      <c r="A1573" s="1" t="s">
        <v>79</v>
      </c>
      <c r="B1573" s="4">
        <v>40738</v>
      </c>
      <c r="C1573" s="1" t="s">
        <v>186</v>
      </c>
      <c r="D1573" s="1" t="s">
        <v>150</v>
      </c>
      <c r="E1573" s="1">
        <v>2</v>
      </c>
      <c r="F1573" s="1" t="s">
        <v>145</v>
      </c>
      <c r="G1573" s="1">
        <v>104</v>
      </c>
      <c r="H1573" s="1">
        <v>12</v>
      </c>
    </row>
    <row r="1574" spans="1:10">
      <c r="A1574" s="1" t="s">
        <v>79</v>
      </c>
      <c r="B1574" s="4">
        <v>40738</v>
      </c>
      <c r="C1574" s="1" t="s">
        <v>186</v>
      </c>
      <c r="D1574" s="1" t="s">
        <v>150</v>
      </c>
      <c r="E1574" s="1">
        <v>2</v>
      </c>
      <c r="F1574" s="1" t="s">
        <v>145</v>
      </c>
      <c r="G1574" s="1">
        <v>90</v>
      </c>
      <c r="H1574" s="1">
        <v>9</v>
      </c>
    </row>
    <row r="1575" spans="1:10">
      <c r="A1575" s="1" t="s">
        <v>80</v>
      </c>
      <c r="B1575" s="4">
        <v>40737</v>
      </c>
      <c r="C1575" s="1" t="s">
        <v>187</v>
      </c>
      <c r="D1575" s="1" t="s">
        <v>141</v>
      </c>
      <c r="E1575" s="1">
        <v>1</v>
      </c>
      <c r="F1575" s="1" t="s">
        <v>145</v>
      </c>
      <c r="G1575" s="1">
        <v>119</v>
      </c>
      <c r="H1575" s="1">
        <v>14</v>
      </c>
    </row>
    <row r="1576" spans="1:10">
      <c r="A1576" s="1" t="s">
        <v>80</v>
      </c>
      <c r="B1576" s="4">
        <v>40737</v>
      </c>
      <c r="C1576" s="1" t="s">
        <v>187</v>
      </c>
      <c r="D1576" s="1" t="s">
        <v>141</v>
      </c>
      <c r="E1576" s="1">
        <v>1</v>
      </c>
      <c r="F1576" s="1" t="s">
        <v>145</v>
      </c>
      <c r="G1576" s="1">
        <v>119</v>
      </c>
      <c r="H1576" s="1">
        <v>14</v>
      </c>
    </row>
    <row r="1577" spans="1:10">
      <c r="A1577" s="1" t="s">
        <v>80</v>
      </c>
      <c r="B1577" s="4">
        <v>40737</v>
      </c>
      <c r="C1577" s="1" t="s">
        <v>187</v>
      </c>
      <c r="J1577" s="1" t="s">
        <v>188</v>
      </c>
    </row>
    <row r="1578" spans="1:10">
      <c r="A1578" s="1" t="s">
        <v>189</v>
      </c>
      <c r="B1578" s="4">
        <v>40743</v>
      </c>
      <c r="C1578" s="1" t="s">
        <v>190</v>
      </c>
      <c r="D1578" s="1" t="s">
        <v>141</v>
      </c>
      <c r="E1578" s="1">
        <v>1</v>
      </c>
      <c r="F1578" s="1" t="s">
        <v>145</v>
      </c>
      <c r="G1578" s="1">
        <v>111</v>
      </c>
      <c r="H1578" s="1">
        <v>16.25</v>
      </c>
    </row>
    <row r="1579" spans="1:10">
      <c r="A1579" s="1" t="s">
        <v>189</v>
      </c>
      <c r="B1579" s="4">
        <v>40743</v>
      </c>
      <c r="C1579" s="1" t="s">
        <v>190</v>
      </c>
      <c r="D1579" s="1" t="s">
        <v>141</v>
      </c>
      <c r="E1579" s="1">
        <v>1</v>
      </c>
      <c r="F1579" s="1" t="s">
        <v>145</v>
      </c>
      <c r="G1579" s="1">
        <v>116</v>
      </c>
      <c r="H1579" s="1">
        <v>20.25</v>
      </c>
    </row>
    <row r="1580" spans="1:10">
      <c r="A1580" s="1" t="s">
        <v>189</v>
      </c>
      <c r="B1580" s="4">
        <v>40743</v>
      </c>
      <c r="C1580" s="1" t="s">
        <v>190</v>
      </c>
      <c r="D1580" s="1" t="s">
        <v>141</v>
      </c>
      <c r="E1580" s="1">
        <v>1</v>
      </c>
      <c r="F1580" s="1" t="s">
        <v>145</v>
      </c>
      <c r="G1580" s="1">
        <v>115</v>
      </c>
      <c r="H1580" s="1">
        <v>17.5</v>
      </c>
    </row>
    <row r="1581" spans="1:10">
      <c r="A1581" s="1" t="s">
        <v>189</v>
      </c>
      <c r="B1581" s="4">
        <v>40743</v>
      </c>
      <c r="C1581" s="1" t="s">
        <v>190</v>
      </c>
      <c r="D1581" s="1" t="s">
        <v>141</v>
      </c>
      <c r="E1581" s="1">
        <v>1</v>
      </c>
      <c r="F1581" s="1" t="s">
        <v>145</v>
      </c>
      <c r="G1581" s="1">
        <v>93</v>
      </c>
      <c r="H1581" s="1">
        <v>9</v>
      </c>
    </row>
    <row r="1582" spans="1:10">
      <c r="A1582" s="1" t="s">
        <v>189</v>
      </c>
      <c r="B1582" s="4">
        <v>40743</v>
      </c>
      <c r="C1582" s="1" t="s">
        <v>190</v>
      </c>
      <c r="D1582" s="1" t="s">
        <v>141</v>
      </c>
      <c r="E1582" s="1">
        <v>1</v>
      </c>
      <c r="F1582" s="1" t="s">
        <v>145</v>
      </c>
      <c r="G1582" s="1">
        <v>104</v>
      </c>
      <c r="H1582" s="1">
        <v>12.5</v>
      </c>
    </row>
    <row r="1583" spans="1:10">
      <c r="A1583" s="1" t="s">
        <v>189</v>
      </c>
      <c r="B1583" s="4">
        <v>40743</v>
      </c>
      <c r="C1583" s="1" t="s">
        <v>190</v>
      </c>
      <c r="D1583" s="1" t="s">
        <v>141</v>
      </c>
      <c r="E1583" s="1">
        <v>1</v>
      </c>
      <c r="F1583" s="1" t="s">
        <v>145</v>
      </c>
      <c r="G1583" s="1">
        <v>105</v>
      </c>
      <c r="H1583" s="1">
        <v>11.75</v>
      </c>
    </row>
    <row r="1584" spans="1:10">
      <c r="A1584" s="1" t="s">
        <v>189</v>
      </c>
      <c r="B1584" s="4">
        <v>40743</v>
      </c>
      <c r="C1584" s="1" t="s">
        <v>190</v>
      </c>
      <c r="D1584" s="1" t="s">
        <v>141</v>
      </c>
      <c r="E1584" s="1">
        <v>1</v>
      </c>
      <c r="F1584" s="1" t="s">
        <v>145</v>
      </c>
      <c r="G1584" s="1">
        <v>93</v>
      </c>
      <c r="H1584" s="1">
        <v>8.5</v>
      </c>
    </row>
    <row r="1585" spans="1:8">
      <c r="A1585" s="1" t="s">
        <v>189</v>
      </c>
      <c r="B1585" s="4">
        <v>40743</v>
      </c>
      <c r="C1585" s="1" t="s">
        <v>190</v>
      </c>
      <c r="D1585" s="1" t="s">
        <v>141</v>
      </c>
      <c r="E1585" s="1">
        <v>1</v>
      </c>
      <c r="F1585" s="1" t="s">
        <v>145</v>
      </c>
      <c r="G1585" s="1">
        <v>124</v>
      </c>
      <c r="H1585" s="1">
        <v>21</v>
      </c>
    </row>
    <row r="1586" spans="1:8">
      <c r="A1586" s="1" t="s">
        <v>189</v>
      </c>
      <c r="B1586" s="4">
        <v>40743</v>
      </c>
      <c r="C1586" s="1" t="s">
        <v>190</v>
      </c>
      <c r="D1586" s="1" t="s">
        <v>141</v>
      </c>
      <c r="E1586" s="1">
        <v>1</v>
      </c>
      <c r="F1586" s="1" t="s">
        <v>145</v>
      </c>
      <c r="G1586" s="1">
        <v>122</v>
      </c>
      <c r="H1586" s="1">
        <v>20</v>
      </c>
    </row>
    <row r="1587" spans="1:8">
      <c r="A1587" s="1" t="s">
        <v>189</v>
      </c>
      <c r="B1587" s="4">
        <v>40743</v>
      </c>
      <c r="C1587" s="1" t="s">
        <v>190</v>
      </c>
      <c r="D1587" s="1" t="s">
        <v>141</v>
      </c>
      <c r="E1587" s="1">
        <v>1</v>
      </c>
      <c r="F1587" s="1" t="s">
        <v>145</v>
      </c>
      <c r="G1587" s="1">
        <v>114</v>
      </c>
      <c r="H1587" s="1">
        <v>17.75</v>
      </c>
    </row>
    <row r="1588" spans="1:8">
      <c r="A1588" s="1" t="s">
        <v>189</v>
      </c>
      <c r="B1588" s="4">
        <v>40743</v>
      </c>
      <c r="C1588" s="1" t="s">
        <v>190</v>
      </c>
      <c r="D1588" s="1" t="s">
        <v>141</v>
      </c>
      <c r="E1588" s="1">
        <v>1</v>
      </c>
      <c r="F1588" s="1" t="s">
        <v>145</v>
      </c>
      <c r="G1588" s="1">
        <v>140</v>
      </c>
      <c r="H1588" s="1" t="s">
        <v>149</v>
      </c>
    </row>
    <row r="1589" spans="1:8">
      <c r="A1589" s="1" t="s">
        <v>189</v>
      </c>
      <c r="B1589" s="4">
        <v>40743</v>
      </c>
      <c r="C1589" s="1" t="s">
        <v>190</v>
      </c>
      <c r="D1589" s="1" t="s">
        <v>141</v>
      </c>
      <c r="E1589" s="1">
        <v>1</v>
      </c>
      <c r="F1589" s="1" t="s">
        <v>145</v>
      </c>
      <c r="G1589" s="1">
        <v>100</v>
      </c>
      <c r="H1589" s="1">
        <v>10.5</v>
      </c>
    </row>
    <row r="1590" spans="1:8">
      <c r="A1590" s="1" t="s">
        <v>189</v>
      </c>
      <c r="B1590" s="4">
        <v>40743</v>
      </c>
      <c r="C1590" s="1" t="s">
        <v>190</v>
      </c>
      <c r="D1590" s="1" t="s">
        <v>141</v>
      </c>
      <c r="E1590" s="1">
        <v>1</v>
      </c>
      <c r="F1590" s="1" t="s">
        <v>142</v>
      </c>
      <c r="G1590" s="1">
        <v>100</v>
      </c>
      <c r="H1590" s="1">
        <v>13.75</v>
      </c>
    </row>
    <row r="1591" spans="1:8">
      <c r="A1591" s="1" t="s">
        <v>189</v>
      </c>
      <c r="B1591" s="4">
        <v>40743</v>
      </c>
      <c r="C1591" s="1" t="s">
        <v>190</v>
      </c>
      <c r="D1591" s="1" t="s">
        <v>147</v>
      </c>
      <c r="E1591" s="1">
        <v>1</v>
      </c>
      <c r="F1591" s="1" t="s">
        <v>142</v>
      </c>
      <c r="G1591" s="1">
        <v>34</v>
      </c>
      <c r="H1591" s="1">
        <v>0.3</v>
      </c>
    </row>
    <row r="1592" spans="1:8">
      <c r="A1592" s="1" t="s">
        <v>189</v>
      </c>
      <c r="B1592" s="4">
        <v>40743</v>
      </c>
      <c r="C1592" s="1" t="s">
        <v>190</v>
      </c>
      <c r="D1592" s="1" t="s">
        <v>147</v>
      </c>
      <c r="E1592" s="1">
        <v>1</v>
      </c>
      <c r="F1592" s="1" t="s">
        <v>145</v>
      </c>
      <c r="G1592" s="1">
        <v>113</v>
      </c>
      <c r="H1592" s="1">
        <v>17.25</v>
      </c>
    </row>
    <row r="1593" spans="1:8">
      <c r="A1593" s="1" t="s">
        <v>189</v>
      </c>
      <c r="B1593" s="4">
        <v>40743</v>
      </c>
      <c r="C1593" s="1" t="s">
        <v>190</v>
      </c>
      <c r="D1593" s="1" t="s">
        <v>147</v>
      </c>
      <c r="E1593" s="1">
        <v>1</v>
      </c>
      <c r="F1593" s="1" t="s">
        <v>145</v>
      </c>
      <c r="G1593" s="1">
        <v>98</v>
      </c>
      <c r="H1593" s="1">
        <v>9.25</v>
      </c>
    </row>
    <row r="1594" spans="1:8">
      <c r="A1594" s="1" t="s">
        <v>189</v>
      </c>
      <c r="B1594" s="4">
        <v>40743</v>
      </c>
      <c r="C1594" s="1" t="s">
        <v>190</v>
      </c>
      <c r="D1594" s="1" t="s">
        <v>147</v>
      </c>
      <c r="E1594" s="1">
        <v>1</v>
      </c>
      <c r="F1594" s="1" t="s">
        <v>145</v>
      </c>
      <c r="G1594" s="1">
        <v>112</v>
      </c>
      <c r="H1594" s="1">
        <v>17</v>
      </c>
    </row>
    <row r="1595" spans="1:8">
      <c r="A1595" s="1" t="s">
        <v>189</v>
      </c>
      <c r="B1595" s="4">
        <v>40743</v>
      </c>
      <c r="C1595" s="1" t="s">
        <v>190</v>
      </c>
      <c r="D1595" s="1" t="s">
        <v>147</v>
      </c>
      <c r="E1595" s="1">
        <v>1</v>
      </c>
      <c r="F1595" s="1" t="s">
        <v>145</v>
      </c>
      <c r="G1595" s="1">
        <v>100</v>
      </c>
      <c r="H1595" s="1">
        <v>13</v>
      </c>
    </row>
    <row r="1596" spans="1:8">
      <c r="A1596" s="1" t="s">
        <v>189</v>
      </c>
      <c r="B1596" s="4">
        <v>40743</v>
      </c>
      <c r="C1596" s="1" t="s">
        <v>190</v>
      </c>
      <c r="D1596" s="1" t="s">
        <v>141</v>
      </c>
      <c r="E1596" s="1">
        <v>2</v>
      </c>
      <c r="F1596" s="1" t="s">
        <v>145</v>
      </c>
      <c r="G1596" s="1">
        <v>104</v>
      </c>
      <c r="H1596" s="1">
        <v>14.5</v>
      </c>
    </row>
    <row r="1597" spans="1:8">
      <c r="A1597" s="1" t="s">
        <v>189</v>
      </c>
      <c r="B1597" s="4">
        <v>40743</v>
      </c>
      <c r="C1597" s="1" t="s">
        <v>190</v>
      </c>
      <c r="D1597" s="1" t="s">
        <v>141</v>
      </c>
      <c r="E1597" s="1">
        <v>2</v>
      </c>
      <c r="F1597" s="1" t="s">
        <v>145</v>
      </c>
      <c r="G1597" s="1">
        <v>100</v>
      </c>
      <c r="H1597" s="1">
        <v>13.5</v>
      </c>
    </row>
    <row r="1598" spans="1:8">
      <c r="A1598" s="1" t="s">
        <v>189</v>
      </c>
      <c r="B1598" s="4">
        <v>40743</v>
      </c>
      <c r="C1598" s="1" t="s">
        <v>190</v>
      </c>
      <c r="D1598" s="1" t="s">
        <v>141</v>
      </c>
      <c r="E1598" s="1">
        <v>2</v>
      </c>
      <c r="F1598" s="1" t="s">
        <v>145</v>
      </c>
      <c r="G1598" s="1">
        <v>95</v>
      </c>
      <c r="H1598" s="1">
        <v>10</v>
      </c>
    </row>
    <row r="1599" spans="1:8">
      <c r="A1599" s="1" t="s">
        <v>189</v>
      </c>
      <c r="B1599" s="4">
        <v>40743</v>
      </c>
      <c r="C1599" s="1" t="s">
        <v>190</v>
      </c>
      <c r="D1599" s="1" t="s">
        <v>141</v>
      </c>
      <c r="E1599" s="1">
        <v>2</v>
      </c>
      <c r="F1599" s="1" t="s">
        <v>145</v>
      </c>
      <c r="G1599" s="1">
        <v>87</v>
      </c>
      <c r="H1599" s="1">
        <v>7.25</v>
      </c>
    </row>
    <row r="1600" spans="1:8">
      <c r="A1600" s="1" t="s">
        <v>189</v>
      </c>
      <c r="B1600" s="4">
        <v>40743</v>
      </c>
      <c r="C1600" s="1" t="s">
        <v>190</v>
      </c>
      <c r="D1600" s="1" t="s">
        <v>141</v>
      </c>
      <c r="E1600" s="1">
        <v>2</v>
      </c>
      <c r="F1600" s="1" t="s">
        <v>145</v>
      </c>
      <c r="G1600" s="1">
        <v>125</v>
      </c>
      <c r="H1600" s="1">
        <v>13.25</v>
      </c>
    </row>
    <row r="1601" spans="1:10">
      <c r="A1601" s="1" t="s">
        <v>189</v>
      </c>
      <c r="B1601" s="4">
        <v>40743</v>
      </c>
      <c r="C1601" s="1" t="s">
        <v>190</v>
      </c>
      <c r="D1601" s="1" t="s">
        <v>147</v>
      </c>
      <c r="E1601" s="1">
        <v>2</v>
      </c>
      <c r="F1601" s="1" t="s">
        <v>145</v>
      </c>
      <c r="G1601" s="1">
        <v>105</v>
      </c>
      <c r="H1601" s="1">
        <v>13</v>
      </c>
    </row>
    <row r="1602" spans="1:10">
      <c r="A1602" s="1" t="s">
        <v>189</v>
      </c>
      <c r="B1602" s="4">
        <v>40743</v>
      </c>
      <c r="C1602" s="1" t="s">
        <v>190</v>
      </c>
      <c r="D1602" s="1" t="s">
        <v>150</v>
      </c>
      <c r="E1602" s="1">
        <v>1</v>
      </c>
      <c r="F1602" s="1" t="s">
        <v>145</v>
      </c>
      <c r="G1602" s="1">
        <v>107</v>
      </c>
      <c r="H1602" s="1">
        <v>12.5</v>
      </c>
      <c r="J1602" s="1" t="s">
        <v>191</v>
      </c>
    </row>
    <row r="1603" spans="1:10">
      <c r="A1603" s="1" t="s">
        <v>189</v>
      </c>
      <c r="B1603" s="4">
        <v>40743</v>
      </c>
      <c r="C1603" s="1" t="s">
        <v>190</v>
      </c>
      <c r="D1603" s="1" t="s">
        <v>150</v>
      </c>
      <c r="E1603" s="1">
        <v>1</v>
      </c>
      <c r="F1603" s="1" t="s">
        <v>145</v>
      </c>
      <c r="G1603" s="1">
        <v>88</v>
      </c>
      <c r="H1603" s="1">
        <v>7.5</v>
      </c>
    </row>
    <row r="1604" spans="1:10">
      <c r="A1604" s="1" t="s">
        <v>189</v>
      </c>
      <c r="B1604" s="4">
        <v>40743</v>
      </c>
      <c r="C1604" s="1" t="s">
        <v>190</v>
      </c>
      <c r="D1604" s="1" t="s">
        <v>150</v>
      </c>
      <c r="E1604" s="1">
        <v>1</v>
      </c>
      <c r="F1604" s="1" t="s">
        <v>145</v>
      </c>
      <c r="G1604" s="1">
        <v>129</v>
      </c>
      <c r="H1604" s="1">
        <v>20.75</v>
      </c>
    </row>
    <row r="1605" spans="1:10">
      <c r="A1605" s="1" t="s">
        <v>189</v>
      </c>
      <c r="B1605" s="4">
        <v>40743</v>
      </c>
      <c r="C1605" s="1" t="s">
        <v>190</v>
      </c>
      <c r="D1605" s="1" t="s">
        <v>150</v>
      </c>
      <c r="E1605" s="1">
        <v>1</v>
      </c>
      <c r="F1605" s="1" t="s">
        <v>145</v>
      </c>
      <c r="G1605" s="1">
        <v>111</v>
      </c>
      <c r="H1605" s="1">
        <v>14</v>
      </c>
    </row>
    <row r="1606" spans="1:10">
      <c r="A1606" s="1" t="s">
        <v>189</v>
      </c>
      <c r="B1606" s="4">
        <v>40743</v>
      </c>
      <c r="C1606" s="1" t="s">
        <v>190</v>
      </c>
      <c r="D1606" s="1" t="s">
        <v>150</v>
      </c>
      <c r="E1606" s="1">
        <v>1</v>
      </c>
      <c r="F1606" s="1" t="s">
        <v>145</v>
      </c>
      <c r="G1606" s="1">
        <v>105</v>
      </c>
      <c r="H1606" s="1">
        <v>14.5</v>
      </c>
    </row>
    <row r="1607" spans="1:10">
      <c r="A1607" s="1" t="s">
        <v>189</v>
      </c>
      <c r="B1607" s="4">
        <v>40743</v>
      </c>
      <c r="C1607" s="1" t="s">
        <v>190</v>
      </c>
      <c r="D1607" s="1" t="s">
        <v>150</v>
      </c>
      <c r="E1607" s="1">
        <v>1</v>
      </c>
      <c r="F1607" s="1" t="s">
        <v>145</v>
      </c>
      <c r="G1607" s="1">
        <v>119</v>
      </c>
      <c r="H1607" s="1">
        <v>17.5</v>
      </c>
    </row>
    <row r="1608" spans="1:10">
      <c r="A1608" s="1" t="s">
        <v>189</v>
      </c>
      <c r="B1608" s="4">
        <v>40743</v>
      </c>
      <c r="C1608" s="1" t="s">
        <v>190</v>
      </c>
      <c r="D1608" s="1" t="s">
        <v>150</v>
      </c>
      <c r="E1608" s="1">
        <v>2</v>
      </c>
      <c r="F1608" s="1" t="s">
        <v>142</v>
      </c>
      <c r="G1608" s="1">
        <v>35</v>
      </c>
      <c r="H1608" s="1">
        <v>0.3</v>
      </c>
    </row>
    <row r="1609" spans="1:10">
      <c r="A1609" s="1" t="s">
        <v>189</v>
      </c>
      <c r="B1609" s="4">
        <v>40743</v>
      </c>
      <c r="C1609" s="1" t="s">
        <v>190</v>
      </c>
      <c r="D1609" s="1" t="s">
        <v>150</v>
      </c>
      <c r="E1609" s="1">
        <v>2</v>
      </c>
      <c r="F1609" s="1" t="s">
        <v>142</v>
      </c>
      <c r="G1609" s="1">
        <v>92</v>
      </c>
      <c r="H1609" s="1">
        <v>11.5</v>
      </c>
    </row>
    <row r="1610" spans="1:10">
      <c r="A1610" s="1" t="s">
        <v>189</v>
      </c>
      <c r="B1610" s="4">
        <v>40743</v>
      </c>
      <c r="C1610" s="1" t="s">
        <v>190</v>
      </c>
      <c r="D1610" s="1" t="s">
        <v>150</v>
      </c>
      <c r="E1610" s="1">
        <v>2</v>
      </c>
      <c r="F1610" s="1" t="s">
        <v>145</v>
      </c>
      <c r="G1610" s="1">
        <v>79</v>
      </c>
      <c r="H1610" s="1">
        <v>5.5</v>
      </c>
    </row>
    <row r="1611" spans="1:10">
      <c r="A1611" s="1" t="s">
        <v>86</v>
      </c>
      <c r="B1611" s="4">
        <v>40746</v>
      </c>
      <c r="C1611" s="1" t="s">
        <v>187</v>
      </c>
      <c r="D1611" s="1" t="s">
        <v>141</v>
      </c>
      <c r="E1611" s="1">
        <v>1</v>
      </c>
      <c r="F1611" s="1" t="s">
        <v>145</v>
      </c>
      <c r="G1611" s="1">
        <v>98</v>
      </c>
      <c r="H1611" s="1">
        <v>7</v>
      </c>
    </row>
    <row r="1612" spans="1:10">
      <c r="A1612" s="1" t="s">
        <v>86</v>
      </c>
      <c r="B1612" s="4">
        <v>40746</v>
      </c>
      <c r="C1612" s="1" t="s">
        <v>187</v>
      </c>
      <c r="D1612" s="1" t="s">
        <v>141</v>
      </c>
      <c r="E1612" s="1">
        <v>1</v>
      </c>
      <c r="F1612" s="1" t="s">
        <v>145</v>
      </c>
      <c r="G1612" s="1">
        <v>83</v>
      </c>
      <c r="H1612" s="1">
        <v>5</v>
      </c>
    </row>
    <row r="1613" spans="1:10">
      <c r="A1613" s="1" t="s">
        <v>86</v>
      </c>
      <c r="B1613" s="4">
        <v>40746</v>
      </c>
      <c r="C1613" s="1" t="s">
        <v>187</v>
      </c>
      <c r="D1613" s="1" t="s">
        <v>141</v>
      </c>
      <c r="E1613" s="1">
        <v>1</v>
      </c>
      <c r="F1613" s="1" t="s">
        <v>145</v>
      </c>
      <c r="G1613" s="1">
        <v>93</v>
      </c>
      <c r="H1613" s="1">
        <v>6.5</v>
      </c>
    </row>
    <row r="1614" spans="1:10">
      <c r="A1614" s="1" t="s">
        <v>86</v>
      </c>
      <c r="B1614" s="4">
        <v>40746</v>
      </c>
      <c r="C1614" s="1" t="s">
        <v>187</v>
      </c>
      <c r="D1614" s="1" t="s">
        <v>150</v>
      </c>
      <c r="E1614" s="1">
        <v>1</v>
      </c>
      <c r="F1614" s="1" t="s">
        <v>145</v>
      </c>
      <c r="G1614" s="1">
        <v>104</v>
      </c>
      <c r="H1614" s="1">
        <v>9</v>
      </c>
      <c r="J1614" s="1" t="s">
        <v>192</v>
      </c>
    </row>
    <row r="1615" spans="1:10">
      <c r="A1615" s="1" t="s">
        <v>83</v>
      </c>
      <c r="B1615" s="4">
        <v>40745</v>
      </c>
      <c r="C1615" s="1" t="s">
        <v>193</v>
      </c>
      <c r="D1615" s="1" t="s">
        <v>141</v>
      </c>
      <c r="E1615" s="1">
        <v>1</v>
      </c>
      <c r="F1615" s="1" t="s">
        <v>145</v>
      </c>
      <c r="G1615" s="1">
        <v>104</v>
      </c>
      <c r="H1615" s="1">
        <v>8</v>
      </c>
    </row>
    <row r="1616" spans="1:10">
      <c r="A1616" s="1" t="s">
        <v>83</v>
      </c>
      <c r="B1616" s="4">
        <v>40745</v>
      </c>
      <c r="C1616" s="1" t="s">
        <v>193</v>
      </c>
      <c r="D1616" s="1" t="s">
        <v>141</v>
      </c>
      <c r="E1616" s="1">
        <v>1</v>
      </c>
      <c r="F1616" s="1" t="s">
        <v>145</v>
      </c>
      <c r="G1616" s="1">
        <v>100</v>
      </c>
      <c r="H1616" s="1">
        <v>9</v>
      </c>
    </row>
    <row r="1617" spans="1:8">
      <c r="A1617" s="1" t="s">
        <v>83</v>
      </c>
      <c r="B1617" s="4">
        <v>40745</v>
      </c>
      <c r="C1617" s="1" t="s">
        <v>193</v>
      </c>
      <c r="D1617" s="1" t="s">
        <v>141</v>
      </c>
      <c r="E1617" s="1">
        <v>1</v>
      </c>
      <c r="F1617" s="1" t="s">
        <v>145</v>
      </c>
      <c r="G1617" s="1">
        <v>102</v>
      </c>
      <c r="H1617" s="1">
        <v>8</v>
      </c>
    </row>
    <row r="1618" spans="1:8">
      <c r="A1618" s="1" t="s">
        <v>83</v>
      </c>
      <c r="B1618" s="4">
        <v>40745</v>
      </c>
      <c r="C1618" s="1" t="s">
        <v>193</v>
      </c>
      <c r="D1618" s="1" t="s">
        <v>141</v>
      </c>
      <c r="E1618" s="1">
        <v>1</v>
      </c>
      <c r="F1618" s="1" t="s">
        <v>145</v>
      </c>
      <c r="G1618" s="1">
        <v>92</v>
      </c>
      <c r="H1618" s="1">
        <v>8</v>
      </c>
    </row>
    <row r="1619" spans="1:8">
      <c r="A1619" s="1" t="s">
        <v>83</v>
      </c>
      <c r="B1619" s="4">
        <v>40745</v>
      </c>
      <c r="C1619" s="1" t="s">
        <v>193</v>
      </c>
      <c r="D1619" s="1" t="s">
        <v>141</v>
      </c>
      <c r="E1619" s="1">
        <v>1</v>
      </c>
      <c r="F1619" s="1" t="s">
        <v>145</v>
      </c>
      <c r="G1619" s="1">
        <v>33</v>
      </c>
      <c r="H1619" s="1">
        <v>1.5</v>
      </c>
    </row>
    <row r="1620" spans="1:8">
      <c r="A1620" s="1" t="s">
        <v>83</v>
      </c>
      <c r="B1620" s="4">
        <v>40745</v>
      </c>
      <c r="C1620" s="1" t="s">
        <v>193</v>
      </c>
      <c r="D1620" s="1" t="s">
        <v>141</v>
      </c>
      <c r="E1620" s="1">
        <v>1</v>
      </c>
      <c r="F1620" s="1" t="s">
        <v>145</v>
      </c>
      <c r="G1620" s="1">
        <v>62</v>
      </c>
      <c r="H1620" s="1">
        <v>2</v>
      </c>
    </row>
    <row r="1621" spans="1:8">
      <c r="A1621" s="1" t="s">
        <v>83</v>
      </c>
      <c r="B1621" s="4">
        <v>40745</v>
      </c>
      <c r="C1621" s="1" t="s">
        <v>193</v>
      </c>
      <c r="D1621" s="1" t="s">
        <v>141</v>
      </c>
      <c r="E1621" s="1">
        <v>1</v>
      </c>
      <c r="F1621" s="1" t="s">
        <v>145</v>
      </c>
      <c r="G1621" s="1">
        <v>52</v>
      </c>
      <c r="H1621" s="1">
        <v>1</v>
      </c>
    </row>
    <row r="1622" spans="1:8">
      <c r="A1622" s="1" t="s">
        <v>83</v>
      </c>
      <c r="B1622" s="4">
        <v>40745</v>
      </c>
      <c r="C1622" s="1" t="s">
        <v>193</v>
      </c>
      <c r="D1622" s="1" t="s">
        <v>141</v>
      </c>
      <c r="E1622" s="1">
        <v>1</v>
      </c>
      <c r="F1622" s="1" t="s">
        <v>145</v>
      </c>
      <c r="G1622" s="1">
        <v>94</v>
      </c>
      <c r="H1622" s="1">
        <v>7</v>
      </c>
    </row>
    <row r="1623" spans="1:8">
      <c r="A1623" s="1" t="s">
        <v>83</v>
      </c>
      <c r="B1623" s="4">
        <v>40745</v>
      </c>
      <c r="C1623" s="1" t="s">
        <v>193</v>
      </c>
      <c r="D1623" s="1" t="s">
        <v>141</v>
      </c>
      <c r="E1623" s="1">
        <v>1</v>
      </c>
      <c r="F1623" s="1" t="s">
        <v>145</v>
      </c>
      <c r="G1623" s="1">
        <v>59</v>
      </c>
      <c r="H1623" s="1">
        <v>1.7</v>
      </c>
    </row>
    <row r="1624" spans="1:8">
      <c r="A1624" s="1" t="s">
        <v>83</v>
      </c>
      <c r="B1624" s="4">
        <v>40745</v>
      </c>
      <c r="C1624" s="1" t="s">
        <v>193</v>
      </c>
      <c r="D1624" s="1" t="s">
        <v>141</v>
      </c>
      <c r="E1624" s="1">
        <v>1</v>
      </c>
      <c r="F1624" s="1" t="s">
        <v>145</v>
      </c>
      <c r="G1624" s="1">
        <v>63</v>
      </c>
      <c r="H1624" s="1">
        <v>2.1</v>
      </c>
    </row>
    <row r="1625" spans="1:8">
      <c r="A1625" s="1" t="s">
        <v>83</v>
      </c>
      <c r="B1625" s="4">
        <v>40745</v>
      </c>
      <c r="C1625" s="1" t="s">
        <v>193</v>
      </c>
      <c r="D1625" s="1" t="s">
        <v>141</v>
      </c>
      <c r="E1625" s="1">
        <v>1</v>
      </c>
      <c r="F1625" s="1" t="s">
        <v>145</v>
      </c>
      <c r="G1625" s="1">
        <v>83</v>
      </c>
      <c r="H1625" s="1">
        <v>4.5999999999999996</v>
      </c>
    </row>
    <row r="1626" spans="1:8">
      <c r="A1626" s="1" t="s">
        <v>83</v>
      </c>
      <c r="B1626" s="4">
        <v>40745</v>
      </c>
      <c r="C1626" s="1" t="s">
        <v>193</v>
      </c>
      <c r="D1626" s="1" t="s">
        <v>141</v>
      </c>
      <c r="E1626" s="1">
        <v>1</v>
      </c>
      <c r="F1626" s="1" t="s">
        <v>145</v>
      </c>
      <c r="G1626" s="1">
        <v>76</v>
      </c>
      <c r="H1626" s="1">
        <v>3.2</v>
      </c>
    </row>
    <row r="1627" spans="1:8">
      <c r="A1627" s="1" t="s">
        <v>83</v>
      </c>
      <c r="B1627" s="4">
        <v>40745</v>
      </c>
      <c r="C1627" s="1" t="s">
        <v>193</v>
      </c>
      <c r="D1627" s="1" t="s">
        <v>141</v>
      </c>
      <c r="E1627" s="1">
        <v>1</v>
      </c>
      <c r="F1627" s="1" t="s">
        <v>145</v>
      </c>
      <c r="G1627" s="1">
        <v>112</v>
      </c>
      <c r="H1627" s="1">
        <v>11</v>
      </c>
    </row>
    <row r="1628" spans="1:8">
      <c r="A1628" s="1" t="s">
        <v>83</v>
      </c>
      <c r="B1628" s="4">
        <v>40745</v>
      </c>
      <c r="C1628" s="1" t="s">
        <v>193</v>
      </c>
      <c r="D1628" s="1" t="s">
        <v>141</v>
      </c>
      <c r="E1628" s="1">
        <v>2</v>
      </c>
      <c r="F1628" s="1" t="s">
        <v>145</v>
      </c>
      <c r="G1628" s="1">
        <v>99</v>
      </c>
      <c r="H1628" s="1">
        <v>8.5</v>
      </c>
    </row>
    <row r="1629" spans="1:8">
      <c r="A1629" s="1" t="s">
        <v>83</v>
      </c>
      <c r="B1629" s="4">
        <v>40745</v>
      </c>
      <c r="C1629" s="1" t="s">
        <v>193</v>
      </c>
      <c r="D1629" s="1" t="s">
        <v>141</v>
      </c>
      <c r="E1629" s="1">
        <v>2</v>
      </c>
      <c r="F1629" s="1" t="s">
        <v>145</v>
      </c>
      <c r="G1629" s="1">
        <v>85</v>
      </c>
      <c r="H1629" s="1">
        <v>5</v>
      </c>
    </row>
    <row r="1630" spans="1:8">
      <c r="A1630" s="1" t="s">
        <v>83</v>
      </c>
      <c r="B1630" s="4">
        <v>40745</v>
      </c>
      <c r="C1630" s="1" t="s">
        <v>193</v>
      </c>
      <c r="D1630" s="1" t="s">
        <v>141</v>
      </c>
      <c r="E1630" s="1">
        <v>2</v>
      </c>
      <c r="F1630" s="1" t="s">
        <v>145</v>
      </c>
      <c r="G1630" s="1">
        <v>111</v>
      </c>
      <c r="H1630" s="1">
        <v>12</v>
      </c>
    </row>
    <row r="1631" spans="1:8">
      <c r="A1631" s="1" t="s">
        <v>83</v>
      </c>
      <c r="B1631" s="4">
        <v>40745</v>
      </c>
      <c r="C1631" s="1" t="s">
        <v>193</v>
      </c>
      <c r="D1631" s="1" t="s">
        <v>141</v>
      </c>
      <c r="E1631" s="1">
        <v>2</v>
      </c>
      <c r="F1631" s="1" t="s">
        <v>145</v>
      </c>
      <c r="G1631" s="1">
        <v>93</v>
      </c>
      <c r="H1631" s="1">
        <v>7</v>
      </c>
    </row>
    <row r="1632" spans="1:8">
      <c r="A1632" s="1" t="s">
        <v>83</v>
      </c>
      <c r="B1632" s="4">
        <v>40745</v>
      </c>
      <c r="C1632" s="1" t="s">
        <v>193</v>
      </c>
      <c r="D1632" s="1" t="s">
        <v>141</v>
      </c>
      <c r="E1632" s="1">
        <v>2</v>
      </c>
      <c r="F1632" s="1" t="s">
        <v>145</v>
      </c>
      <c r="G1632" s="1">
        <v>79</v>
      </c>
      <c r="H1632" s="1">
        <v>4</v>
      </c>
    </row>
    <row r="1633" spans="1:8">
      <c r="A1633" s="1" t="s">
        <v>83</v>
      </c>
      <c r="B1633" s="4">
        <v>40745</v>
      </c>
      <c r="C1633" s="1" t="s">
        <v>193</v>
      </c>
      <c r="D1633" s="1" t="s">
        <v>147</v>
      </c>
      <c r="E1633" s="1">
        <v>1</v>
      </c>
      <c r="F1633" s="1" t="s">
        <v>145</v>
      </c>
      <c r="G1633" s="1">
        <v>90</v>
      </c>
      <c r="H1633" s="1">
        <v>7.1</v>
      </c>
    </row>
    <row r="1634" spans="1:8">
      <c r="A1634" s="1" t="s">
        <v>83</v>
      </c>
      <c r="B1634" s="4">
        <v>40745</v>
      </c>
      <c r="C1634" s="1" t="s">
        <v>193</v>
      </c>
      <c r="D1634" s="1" t="s">
        <v>147</v>
      </c>
      <c r="E1634" s="1">
        <v>1</v>
      </c>
      <c r="F1634" s="1" t="s">
        <v>145</v>
      </c>
      <c r="G1634" s="1">
        <v>58</v>
      </c>
      <c r="H1634" s="1">
        <v>1.7</v>
      </c>
    </row>
    <row r="1635" spans="1:8">
      <c r="A1635" s="1" t="s">
        <v>83</v>
      </c>
      <c r="B1635" s="4">
        <v>40745</v>
      </c>
      <c r="C1635" s="1" t="s">
        <v>193</v>
      </c>
      <c r="D1635" s="1" t="s">
        <v>147</v>
      </c>
      <c r="E1635" s="1">
        <v>1</v>
      </c>
      <c r="F1635" s="1" t="s">
        <v>145</v>
      </c>
      <c r="G1635" s="1">
        <v>53</v>
      </c>
      <c r="H1635" s="1">
        <v>0.8</v>
      </c>
    </row>
    <row r="1636" spans="1:8">
      <c r="A1636" s="1" t="s">
        <v>83</v>
      </c>
      <c r="B1636" s="4">
        <v>40745</v>
      </c>
      <c r="C1636" s="1" t="s">
        <v>193</v>
      </c>
      <c r="D1636" s="1" t="s">
        <v>147</v>
      </c>
      <c r="E1636" s="1">
        <v>1</v>
      </c>
      <c r="F1636" s="1" t="s">
        <v>145</v>
      </c>
      <c r="G1636" s="1">
        <v>92</v>
      </c>
      <c r="H1636" s="1">
        <v>7.5</v>
      </c>
    </row>
    <row r="1637" spans="1:8">
      <c r="A1637" s="1" t="s">
        <v>83</v>
      </c>
      <c r="B1637" s="4">
        <v>40745</v>
      </c>
      <c r="C1637" s="1" t="s">
        <v>193</v>
      </c>
      <c r="D1637" s="1" t="s">
        <v>147</v>
      </c>
      <c r="E1637" s="1">
        <v>1</v>
      </c>
      <c r="F1637" s="1" t="s">
        <v>145</v>
      </c>
      <c r="G1637" s="1">
        <v>51</v>
      </c>
      <c r="H1637" s="1">
        <v>1.1000000000000001</v>
      </c>
    </row>
    <row r="1638" spans="1:8">
      <c r="A1638" s="1" t="s">
        <v>83</v>
      </c>
      <c r="B1638" s="4">
        <v>40745</v>
      </c>
      <c r="C1638" s="1" t="s">
        <v>193</v>
      </c>
      <c r="D1638" s="1" t="s">
        <v>147</v>
      </c>
      <c r="E1638" s="1">
        <v>1</v>
      </c>
      <c r="F1638" s="1" t="s">
        <v>145</v>
      </c>
      <c r="G1638" s="1">
        <v>111</v>
      </c>
      <c r="H1638" s="1">
        <v>11</v>
      </c>
    </row>
    <row r="1639" spans="1:8">
      <c r="A1639" s="1" t="s">
        <v>83</v>
      </c>
      <c r="B1639" s="4">
        <v>40745</v>
      </c>
      <c r="C1639" s="1" t="s">
        <v>193</v>
      </c>
      <c r="D1639" s="1" t="s">
        <v>147</v>
      </c>
      <c r="E1639" s="1">
        <v>1</v>
      </c>
      <c r="F1639" s="1" t="s">
        <v>145</v>
      </c>
      <c r="G1639" s="1">
        <v>52</v>
      </c>
      <c r="H1639" s="1">
        <v>1</v>
      </c>
    </row>
    <row r="1640" spans="1:8">
      <c r="A1640" s="1" t="s">
        <v>83</v>
      </c>
      <c r="B1640" s="4">
        <v>40745</v>
      </c>
      <c r="C1640" s="1" t="s">
        <v>193</v>
      </c>
      <c r="D1640" s="1" t="s">
        <v>147</v>
      </c>
      <c r="E1640" s="1">
        <v>1</v>
      </c>
      <c r="F1640" s="1" t="s">
        <v>145</v>
      </c>
      <c r="G1640" s="1">
        <v>79</v>
      </c>
      <c r="H1640" s="1">
        <v>4.5</v>
      </c>
    </row>
    <row r="1641" spans="1:8">
      <c r="A1641" s="1" t="s">
        <v>83</v>
      </c>
      <c r="B1641" s="4">
        <v>40745</v>
      </c>
      <c r="C1641" s="1" t="s">
        <v>193</v>
      </c>
      <c r="D1641" s="1" t="s">
        <v>147</v>
      </c>
      <c r="E1641" s="1">
        <v>1</v>
      </c>
      <c r="F1641" s="1" t="s">
        <v>145</v>
      </c>
      <c r="G1641" s="1">
        <v>30</v>
      </c>
    </row>
    <row r="1642" spans="1:8">
      <c r="A1642" s="1" t="s">
        <v>83</v>
      </c>
      <c r="B1642" s="4">
        <v>40745</v>
      </c>
      <c r="C1642" s="1" t="s">
        <v>193</v>
      </c>
      <c r="D1642" s="1" t="s">
        <v>147</v>
      </c>
      <c r="E1642" s="1">
        <v>1</v>
      </c>
      <c r="F1642" s="1" t="s">
        <v>145</v>
      </c>
      <c r="G1642" s="1">
        <v>33</v>
      </c>
    </row>
    <row r="1643" spans="1:8">
      <c r="A1643" s="1" t="s">
        <v>83</v>
      </c>
      <c r="B1643" s="4">
        <v>40745</v>
      </c>
      <c r="C1643" s="1" t="s">
        <v>193</v>
      </c>
      <c r="D1643" s="1" t="s">
        <v>147</v>
      </c>
      <c r="E1643" s="1">
        <v>1</v>
      </c>
      <c r="F1643" s="1" t="s">
        <v>145</v>
      </c>
      <c r="G1643" s="1">
        <v>32</v>
      </c>
    </row>
    <row r="1644" spans="1:8">
      <c r="A1644" s="1" t="s">
        <v>83</v>
      </c>
      <c r="B1644" s="4">
        <v>40745</v>
      </c>
      <c r="C1644" s="1" t="s">
        <v>193</v>
      </c>
      <c r="D1644" s="1" t="s">
        <v>147</v>
      </c>
      <c r="E1644" s="1">
        <v>1</v>
      </c>
      <c r="F1644" s="1" t="s">
        <v>145</v>
      </c>
      <c r="G1644" s="1">
        <v>43</v>
      </c>
    </row>
    <row r="1645" spans="1:8">
      <c r="A1645" s="1" t="s">
        <v>83</v>
      </c>
      <c r="B1645" s="4">
        <v>40745</v>
      </c>
      <c r="C1645" s="1" t="s">
        <v>193</v>
      </c>
      <c r="D1645" s="1" t="s">
        <v>147</v>
      </c>
      <c r="E1645" s="1">
        <v>1</v>
      </c>
      <c r="F1645" s="1" t="s">
        <v>145</v>
      </c>
      <c r="G1645" s="1">
        <v>53</v>
      </c>
      <c r="H1645" s="1">
        <v>2</v>
      </c>
    </row>
    <row r="1646" spans="1:8">
      <c r="A1646" s="1" t="s">
        <v>83</v>
      </c>
      <c r="B1646" s="4">
        <v>40745</v>
      </c>
      <c r="C1646" s="1" t="s">
        <v>193</v>
      </c>
      <c r="D1646" s="1" t="s">
        <v>147</v>
      </c>
      <c r="E1646" s="1">
        <v>1</v>
      </c>
      <c r="F1646" s="1" t="s">
        <v>145</v>
      </c>
      <c r="G1646" s="1">
        <v>66</v>
      </c>
      <c r="H1646" s="1">
        <v>2.5</v>
      </c>
    </row>
    <row r="1647" spans="1:8">
      <c r="A1647" s="1" t="s">
        <v>83</v>
      </c>
      <c r="B1647" s="4">
        <v>40745</v>
      </c>
      <c r="C1647" s="1" t="s">
        <v>193</v>
      </c>
      <c r="D1647" s="1" t="s">
        <v>147</v>
      </c>
      <c r="E1647" s="1">
        <v>1</v>
      </c>
      <c r="F1647" s="1" t="s">
        <v>145</v>
      </c>
      <c r="G1647" s="1">
        <v>66</v>
      </c>
      <c r="H1647" s="1">
        <v>2.8</v>
      </c>
    </row>
    <row r="1648" spans="1:8">
      <c r="A1648" s="1" t="s">
        <v>83</v>
      </c>
      <c r="B1648" s="4">
        <v>40745</v>
      </c>
      <c r="C1648" s="1" t="s">
        <v>193</v>
      </c>
      <c r="D1648" s="1" t="s">
        <v>147</v>
      </c>
      <c r="E1648" s="1">
        <v>2</v>
      </c>
      <c r="F1648" s="1" t="s">
        <v>145</v>
      </c>
      <c r="G1648" s="1">
        <v>89</v>
      </c>
      <c r="H1648" s="1">
        <v>5.5</v>
      </c>
    </row>
    <row r="1649" spans="1:8">
      <c r="A1649" s="1" t="s">
        <v>83</v>
      </c>
      <c r="B1649" s="4">
        <v>40745</v>
      </c>
      <c r="C1649" s="1" t="s">
        <v>193</v>
      </c>
      <c r="D1649" s="1" t="s">
        <v>147</v>
      </c>
      <c r="E1649" s="1">
        <v>2</v>
      </c>
      <c r="F1649" s="1" t="s">
        <v>145</v>
      </c>
      <c r="G1649" s="1">
        <v>75</v>
      </c>
      <c r="H1649" s="1">
        <v>4.0999999999999996</v>
      </c>
    </row>
    <row r="1650" spans="1:8">
      <c r="A1650" s="1" t="s">
        <v>83</v>
      </c>
      <c r="B1650" s="4">
        <v>40745</v>
      </c>
      <c r="C1650" s="1" t="s">
        <v>193</v>
      </c>
      <c r="D1650" s="1" t="s">
        <v>147</v>
      </c>
      <c r="E1650" s="1">
        <v>2</v>
      </c>
      <c r="F1650" s="1" t="s">
        <v>145</v>
      </c>
      <c r="G1650" s="1">
        <v>93</v>
      </c>
      <c r="H1650" s="1">
        <v>7</v>
      </c>
    </row>
    <row r="1651" spans="1:8">
      <c r="A1651" s="1" t="s">
        <v>83</v>
      </c>
      <c r="B1651" s="4">
        <v>40745</v>
      </c>
      <c r="C1651" s="1" t="s">
        <v>193</v>
      </c>
      <c r="D1651" s="1" t="s">
        <v>147</v>
      </c>
      <c r="E1651" s="1">
        <v>2</v>
      </c>
      <c r="F1651" s="1" t="s">
        <v>145</v>
      </c>
      <c r="G1651" s="1">
        <v>60</v>
      </c>
      <c r="H1651" s="1">
        <v>1.8</v>
      </c>
    </row>
    <row r="1652" spans="1:8">
      <c r="A1652" s="1" t="s">
        <v>83</v>
      </c>
      <c r="B1652" s="4">
        <v>40745</v>
      </c>
      <c r="C1652" s="1" t="s">
        <v>193</v>
      </c>
      <c r="D1652" s="1" t="s">
        <v>147</v>
      </c>
      <c r="E1652" s="1">
        <v>2</v>
      </c>
      <c r="F1652" s="1" t="s">
        <v>145</v>
      </c>
      <c r="G1652" s="1">
        <v>60</v>
      </c>
      <c r="H1652" s="1">
        <v>2.5</v>
      </c>
    </row>
    <row r="1653" spans="1:8">
      <c r="A1653" s="1" t="s">
        <v>83</v>
      </c>
      <c r="B1653" s="4">
        <v>40745</v>
      </c>
      <c r="C1653" s="1" t="s">
        <v>193</v>
      </c>
      <c r="D1653" s="1" t="s">
        <v>147</v>
      </c>
      <c r="E1653" s="1">
        <v>2</v>
      </c>
      <c r="F1653" s="1" t="s">
        <v>145</v>
      </c>
      <c r="G1653" s="1">
        <v>55</v>
      </c>
      <c r="H1653" s="1">
        <v>1.7</v>
      </c>
    </row>
    <row r="1654" spans="1:8">
      <c r="A1654" s="1" t="s">
        <v>83</v>
      </c>
      <c r="B1654" s="4">
        <v>40745</v>
      </c>
      <c r="C1654" s="1" t="s">
        <v>193</v>
      </c>
      <c r="D1654" s="1" t="s">
        <v>147</v>
      </c>
      <c r="E1654" s="1">
        <v>2</v>
      </c>
      <c r="F1654" s="1" t="s">
        <v>145</v>
      </c>
      <c r="G1654" s="1">
        <v>49</v>
      </c>
      <c r="H1654" s="1">
        <v>1</v>
      </c>
    </row>
    <row r="1655" spans="1:8">
      <c r="A1655" s="1" t="s">
        <v>83</v>
      </c>
      <c r="B1655" s="4">
        <v>40745</v>
      </c>
      <c r="C1655" s="1" t="s">
        <v>193</v>
      </c>
      <c r="D1655" s="1" t="s">
        <v>147</v>
      </c>
      <c r="E1655" s="1">
        <v>2</v>
      </c>
      <c r="F1655" s="1" t="s">
        <v>145</v>
      </c>
      <c r="G1655" s="1">
        <v>49</v>
      </c>
      <c r="H1655" s="1">
        <v>1</v>
      </c>
    </row>
    <row r="1656" spans="1:8">
      <c r="A1656" s="1" t="s">
        <v>83</v>
      </c>
      <c r="B1656" s="4">
        <v>40745</v>
      </c>
      <c r="C1656" s="1" t="s">
        <v>193</v>
      </c>
      <c r="D1656" s="1" t="s">
        <v>150</v>
      </c>
      <c r="E1656" s="1">
        <v>1</v>
      </c>
      <c r="F1656" s="1" t="s">
        <v>145</v>
      </c>
      <c r="G1656" s="1">
        <v>34</v>
      </c>
    </row>
    <row r="1657" spans="1:8">
      <c r="A1657" s="1" t="s">
        <v>83</v>
      </c>
      <c r="B1657" s="4">
        <v>40745</v>
      </c>
      <c r="C1657" s="1" t="s">
        <v>193</v>
      </c>
      <c r="D1657" s="1" t="s">
        <v>150</v>
      </c>
      <c r="E1657" s="1">
        <v>1</v>
      </c>
      <c r="F1657" s="1" t="s">
        <v>145</v>
      </c>
      <c r="G1657" s="1">
        <v>30</v>
      </c>
    </row>
    <row r="1658" spans="1:8">
      <c r="A1658" s="1" t="s">
        <v>83</v>
      </c>
      <c r="B1658" s="4">
        <v>40745</v>
      </c>
      <c r="C1658" s="1" t="s">
        <v>193</v>
      </c>
      <c r="D1658" s="1" t="s">
        <v>150</v>
      </c>
      <c r="E1658" s="1">
        <v>1</v>
      </c>
      <c r="F1658" s="1" t="s">
        <v>145</v>
      </c>
      <c r="G1658" s="1">
        <v>85</v>
      </c>
    </row>
    <row r="1659" spans="1:8">
      <c r="A1659" s="1" t="s">
        <v>83</v>
      </c>
      <c r="B1659" s="4">
        <v>40745</v>
      </c>
      <c r="C1659" s="1" t="s">
        <v>193</v>
      </c>
      <c r="D1659" s="1" t="s">
        <v>150</v>
      </c>
      <c r="E1659" s="1">
        <v>1</v>
      </c>
      <c r="F1659" s="1" t="s">
        <v>145</v>
      </c>
      <c r="G1659" s="1">
        <v>55</v>
      </c>
      <c r="H1659" s="1">
        <v>2</v>
      </c>
    </row>
    <row r="1660" spans="1:8">
      <c r="A1660" s="1" t="s">
        <v>83</v>
      </c>
      <c r="B1660" s="4">
        <v>40745</v>
      </c>
      <c r="C1660" s="1" t="s">
        <v>193</v>
      </c>
      <c r="D1660" s="1" t="s">
        <v>150</v>
      </c>
      <c r="E1660" s="1">
        <v>1</v>
      </c>
      <c r="F1660" s="1" t="s">
        <v>145</v>
      </c>
      <c r="G1660" s="1">
        <v>86</v>
      </c>
      <c r="H1660" s="1">
        <v>4.5</v>
      </c>
    </row>
    <row r="1661" spans="1:8">
      <c r="A1661" s="1" t="s">
        <v>83</v>
      </c>
      <c r="B1661" s="4">
        <v>40745</v>
      </c>
      <c r="C1661" s="1" t="s">
        <v>193</v>
      </c>
      <c r="D1661" s="1" t="s">
        <v>150</v>
      </c>
      <c r="E1661" s="1">
        <v>1</v>
      </c>
      <c r="F1661" s="1" t="s">
        <v>145</v>
      </c>
      <c r="G1661" s="1">
        <v>64</v>
      </c>
      <c r="H1661" s="1">
        <v>2.2999999999999998</v>
      </c>
    </row>
    <row r="1662" spans="1:8">
      <c r="A1662" s="1" t="s">
        <v>83</v>
      </c>
      <c r="B1662" s="4">
        <v>40745</v>
      </c>
      <c r="C1662" s="1" t="s">
        <v>193</v>
      </c>
      <c r="D1662" s="1" t="s">
        <v>150</v>
      </c>
      <c r="E1662" s="1">
        <v>1</v>
      </c>
      <c r="F1662" s="1" t="s">
        <v>145</v>
      </c>
      <c r="G1662" s="1">
        <v>52</v>
      </c>
      <c r="H1662" s="1">
        <v>1</v>
      </c>
    </row>
    <row r="1663" spans="1:8">
      <c r="A1663" s="1" t="s">
        <v>83</v>
      </c>
      <c r="B1663" s="4">
        <v>40745</v>
      </c>
      <c r="C1663" s="1" t="s">
        <v>193</v>
      </c>
      <c r="D1663" s="1" t="s">
        <v>150</v>
      </c>
      <c r="E1663" s="1">
        <v>1</v>
      </c>
      <c r="F1663" s="1" t="s">
        <v>145</v>
      </c>
      <c r="G1663" s="1">
        <v>28</v>
      </c>
    </row>
    <row r="1664" spans="1:8">
      <c r="A1664" s="1" t="s">
        <v>83</v>
      </c>
      <c r="B1664" s="4">
        <v>40745</v>
      </c>
      <c r="C1664" s="1" t="s">
        <v>193</v>
      </c>
      <c r="D1664" s="1" t="s">
        <v>150</v>
      </c>
      <c r="E1664" s="1">
        <v>1</v>
      </c>
      <c r="F1664" s="1" t="s">
        <v>145</v>
      </c>
      <c r="G1664" s="1">
        <v>54</v>
      </c>
      <c r="H1664" s="1">
        <v>2</v>
      </c>
    </row>
    <row r="1665" spans="1:8">
      <c r="A1665" s="1" t="s">
        <v>83</v>
      </c>
      <c r="B1665" s="4">
        <v>40745</v>
      </c>
      <c r="C1665" s="1" t="s">
        <v>193</v>
      </c>
      <c r="D1665" s="1" t="s">
        <v>150</v>
      </c>
      <c r="E1665" s="1">
        <v>1</v>
      </c>
      <c r="F1665" s="1" t="s">
        <v>145</v>
      </c>
      <c r="G1665" s="1">
        <v>71</v>
      </c>
      <c r="H1665" s="1">
        <v>2.8</v>
      </c>
    </row>
    <row r="1666" spans="1:8">
      <c r="A1666" s="1" t="s">
        <v>83</v>
      </c>
      <c r="B1666" s="4">
        <v>40745</v>
      </c>
      <c r="C1666" s="1" t="s">
        <v>193</v>
      </c>
      <c r="D1666" s="1" t="s">
        <v>150</v>
      </c>
      <c r="E1666" s="1">
        <v>1</v>
      </c>
      <c r="F1666" s="1" t="s">
        <v>145</v>
      </c>
      <c r="G1666" s="1">
        <v>46</v>
      </c>
      <c r="H1666" s="1">
        <v>1</v>
      </c>
    </row>
    <row r="1667" spans="1:8">
      <c r="A1667" s="1" t="s">
        <v>83</v>
      </c>
      <c r="B1667" s="4">
        <v>40745</v>
      </c>
      <c r="C1667" s="1" t="s">
        <v>193</v>
      </c>
      <c r="D1667" s="1" t="s">
        <v>150</v>
      </c>
      <c r="E1667" s="1">
        <v>1</v>
      </c>
      <c r="F1667" s="1" t="s">
        <v>145</v>
      </c>
      <c r="G1667" s="1">
        <v>32</v>
      </c>
    </row>
    <row r="1668" spans="1:8">
      <c r="A1668" s="1" t="s">
        <v>83</v>
      </c>
      <c r="B1668" s="4">
        <v>40745</v>
      </c>
      <c r="C1668" s="1" t="s">
        <v>193</v>
      </c>
      <c r="D1668" s="1" t="s">
        <v>150</v>
      </c>
      <c r="E1668" s="1">
        <v>1</v>
      </c>
      <c r="F1668" s="1" t="s">
        <v>145</v>
      </c>
      <c r="G1668" s="1">
        <v>30</v>
      </c>
    </row>
    <row r="1669" spans="1:8">
      <c r="A1669" s="1" t="s">
        <v>83</v>
      </c>
      <c r="B1669" s="4">
        <v>40745</v>
      </c>
      <c r="C1669" s="1" t="s">
        <v>193</v>
      </c>
      <c r="D1669" s="1" t="s">
        <v>150</v>
      </c>
      <c r="E1669" s="1">
        <v>1</v>
      </c>
      <c r="F1669" s="1" t="s">
        <v>145</v>
      </c>
      <c r="G1669" s="1">
        <v>30</v>
      </c>
    </row>
    <row r="1670" spans="1:8">
      <c r="A1670" s="1" t="s">
        <v>83</v>
      </c>
      <c r="B1670" s="4">
        <v>40745</v>
      </c>
      <c r="C1670" s="1" t="s">
        <v>193</v>
      </c>
      <c r="D1670" s="1" t="s">
        <v>150</v>
      </c>
      <c r="E1670" s="1">
        <v>1</v>
      </c>
      <c r="F1670" s="1" t="s">
        <v>145</v>
      </c>
      <c r="G1670" s="1">
        <v>30</v>
      </c>
    </row>
    <row r="1671" spans="1:8">
      <c r="A1671" s="1" t="s">
        <v>83</v>
      </c>
      <c r="B1671" s="4">
        <v>40745</v>
      </c>
      <c r="C1671" s="1" t="s">
        <v>193</v>
      </c>
      <c r="D1671" s="1" t="s">
        <v>150</v>
      </c>
      <c r="E1671" s="1">
        <v>1</v>
      </c>
      <c r="F1671" s="1" t="s">
        <v>145</v>
      </c>
      <c r="G1671" s="1">
        <v>29</v>
      </c>
    </row>
    <row r="1672" spans="1:8">
      <c r="A1672" s="1" t="s">
        <v>83</v>
      </c>
      <c r="B1672" s="4">
        <v>40745</v>
      </c>
      <c r="C1672" s="1" t="s">
        <v>193</v>
      </c>
      <c r="D1672" s="1" t="s">
        <v>150</v>
      </c>
      <c r="E1672" s="1">
        <v>1</v>
      </c>
      <c r="F1672" s="1" t="s">
        <v>145</v>
      </c>
      <c r="G1672" s="1">
        <v>29</v>
      </c>
    </row>
    <row r="1673" spans="1:8">
      <c r="A1673" s="1" t="s">
        <v>83</v>
      </c>
      <c r="B1673" s="4">
        <v>40745</v>
      </c>
      <c r="C1673" s="1" t="s">
        <v>193</v>
      </c>
      <c r="D1673" s="1" t="s">
        <v>150</v>
      </c>
      <c r="E1673" s="1">
        <v>1</v>
      </c>
      <c r="F1673" s="1" t="s">
        <v>145</v>
      </c>
      <c r="G1673" s="1">
        <v>29</v>
      </c>
    </row>
    <row r="1674" spans="1:8">
      <c r="A1674" s="1" t="s">
        <v>83</v>
      </c>
      <c r="B1674" s="4">
        <v>40745</v>
      </c>
      <c r="C1674" s="1" t="s">
        <v>193</v>
      </c>
      <c r="D1674" s="1" t="s">
        <v>150</v>
      </c>
      <c r="E1674" s="1">
        <v>2</v>
      </c>
      <c r="F1674" s="1" t="s">
        <v>145</v>
      </c>
      <c r="G1674" s="1">
        <v>97</v>
      </c>
      <c r="H1674" s="1">
        <v>7</v>
      </c>
    </row>
    <row r="1675" spans="1:8">
      <c r="A1675" s="1" t="s">
        <v>83</v>
      </c>
      <c r="B1675" s="4">
        <v>40745</v>
      </c>
      <c r="C1675" s="1" t="s">
        <v>193</v>
      </c>
      <c r="D1675" s="1" t="s">
        <v>150</v>
      </c>
      <c r="E1675" s="1">
        <v>2</v>
      </c>
      <c r="F1675" s="1" t="s">
        <v>145</v>
      </c>
      <c r="G1675" s="1">
        <v>64</v>
      </c>
      <c r="H1675" s="1">
        <v>3.5</v>
      </c>
    </row>
    <row r="1676" spans="1:8">
      <c r="A1676" s="1" t="s">
        <v>83</v>
      </c>
      <c r="B1676" s="4">
        <v>40745</v>
      </c>
      <c r="C1676" s="1" t="s">
        <v>193</v>
      </c>
      <c r="D1676" s="1" t="s">
        <v>150</v>
      </c>
      <c r="E1676" s="1">
        <v>2</v>
      </c>
      <c r="F1676" s="1" t="s">
        <v>145</v>
      </c>
      <c r="G1676" s="1">
        <v>70</v>
      </c>
      <c r="H1676" s="1">
        <v>4</v>
      </c>
    </row>
    <row r="1677" spans="1:8">
      <c r="A1677" s="1" t="s">
        <v>83</v>
      </c>
      <c r="B1677" s="4">
        <v>40745</v>
      </c>
      <c r="C1677" s="1" t="s">
        <v>193</v>
      </c>
      <c r="D1677" s="1" t="s">
        <v>150</v>
      </c>
      <c r="E1677" s="1">
        <v>2</v>
      </c>
      <c r="F1677" s="1" t="s">
        <v>145</v>
      </c>
      <c r="G1677" s="1">
        <v>62</v>
      </c>
      <c r="H1677" s="1">
        <v>3</v>
      </c>
    </row>
    <row r="1678" spans="1:8">
      <c r="A1678" s="1" t="s">
        <v>83</v>
      </c>
      <c r="B1678" s="4">
        <v>40745</v>
      </c>
      <c r="C1678" s="1" t="s">
        <v>193</v>
      </c>
      <c r="D1678" s="1" t="s">
        <v>150</v>
      </c>
      <c r="E1678" s="1">
        <v>2</v>
      </c>
      <c r="F1678" s="1" t="s">
        <v>145</v>
      </c>
      <c r="G1678" s="1">
        <v>46</v>
      </c>
      <c r="H1678" s="1">
        <v>1.5</v>
      </c>
    </row>
    <row r="1679" spans="1:8">
      <c r="A1679" s="1" t="s">
        <v>83</v>
      </c>
      <c r="B1679" s="4">
        <v>40745</v>
      </c>
      <c r="C1679" s="1" t="s">
        <v>193</v>
      </c>
      <c r="D1679" s="1" t="s">
        <v>150</v>
      </c>
      <c r="E1679" s="1">
        <v>2</v>
      </c>
      <c r="F1679" s="1" t="s">
        <v>145</v>
      </c>
      <c r="G1679" s="1">
        <v>53</v>
      </c>
      <c r="H1679" s="1">
        <v>1</v>
      </c>
    </row>
    <row r="1680" spans="1:8">
      <c r="A1680" s="1" t="s">
        <v>83</v>
      </c>
      <c r="B1680" s="4">
        <v>40745</v>
      </c>
      <c r="C1680" s="1" t="s">
        <v>193</v>
      </c>
      <c r="D1680" s="1" t="s">
        <v>150</v>
      </c>
      <c r="E1680" s="1">
        <v>2</v>
      </c>
      <c r="F1680" s="1" t="s">
        <v>145</v>
      </c>
      <c r="G1680" s="1">
        <v>50</v>
      </c>
      <c r="H1680" s="1">
        <v>0.8</v>
      </c>
    </row>
    <row r="1681" spans="1:10">
      <c r="A1681" s="1" t="s">
        <v>83</v>
      </c>
      <c r="B1681" s="4">
        <v>40745</v>
      </c>
      <c r="C1681" s="1" t="s">
        <v>193</v>
      </c>
      <c r="D1681" s="1" t="s">
        <v>150</v>
      </c>
      <c r="E1681" s="1">
        <v>2</v>
      </c>
      <c r="F1681" s="1" t="s">
        <v>145</v>
      </c>
      <c r="G1681" s="1">
        <v>56</v>
      </c>
      <c r="H1681" s="1">
        <v>2</v>
      </c>
    </row>
    <row r="1682" spans="1:10">
      <c r="A1682" s="1" t="s">
        <v>83</v>
      </c>
      <c r="B1682" s="4">
        <v>40745</v>
      </c>
      <c r="C1682" s="1" t="s">
        <v>193</v>
      </c>
      <c r="D1682" s="1" t="s">
        <v>150</v>
      </c>
      <c r="E1682" s="1">
        <v>2</v>
      </c>
      <c r="F1682" s="1" t="s">
        <v>145</v>
      </c>
      <c r="G1682" s="1">
        <v>48</v>
      </c>
      <c r="H1682" s="1">
        <v>1.4</v>
      </c>
    </row>
    <row r="1683" spans="1:10">
      <c r="A1683" s="1" t="s">
        <v>83</v>
      </c>
      <c r="B1683" s="4">
        <v>40745</v>
      </c>
      <c r="C1683" s="1" t="s">
        <v>193</v>
      </c>
      <c r="D1683" s="1" t="s">
        <v>150</v>
      </c>
      <c r="E1683" s="1">
        <v>2</v>
      </c>
      <c r="F1683" s="1" t="s">
        <v>145</v>
      </c>
      <c r="G1683" s="1">
        <v>54</v>
      </c>
      <c r="H1683" s="1">
        <v>2</v>
      </c>
    </row>
    <row r="1684" spans="1:10">
      <c r="A1684" s="1" t="s">
        <v>83</v>
      </c>
      <c r="B1684" s="4">
        <v>40745</v>
      </c>
      <c r="C1684" s="1" t="s">
        <v>193</v>
      </c>
      <c r="D1684" s="1" t="s">
        <v>150</v>
      </c>
      <c r="E1684" s="1">
        <v>2</v>
      </c>
      <c r="F1684" s="1" t="s">
        <v>145</v>
      </c>
      <c r="G1684" s="1">
        <v>55</v>
      </c>
      <c r="H1684" s="1">
        <v>1.5</v>
      </c>
    </row>
    <row r="1685" spans="1:10">
      <c r="A1685" s="1" t="s">
        <v>83</v>
      </c>
      <c r="B1685" s="4">
        <v>40745</v>
      </c>
      <c r="C1685" s="1" t="s">
        <v>193</v>
      </c>
      <c r="D1685" s="1" t="s">
        <v>150</v>
      </c>
      <c r="E1685" s="1">
        <v>2</v>
      </c>
      <c r="F1685" s="1" t="s">
        <v>145</v>
      </c>
      <c r="G1685" s="1">
        <v>31</v>
      </c>
    </row>
    <row r="1686" spans="1:10">
      <c r="A1686" s="1" t="s">
        <v>83</v>
      </c>
      <c r="B1686" s="4">
        <v>40745</v>
      </c>
      <c r="C1686" s="1" t="s">
        <v>193</v>
      </c>
      <c r="D1686" s="1" t="s">
        <v>150</v>
      </c>
      <c r="E1686" s="1">
        <v>2</v>
      </c>
      <c r="F1686" s="1" t="s">
        <v>145</v>
      </c>
      <c r="G1686" s="1">
        <v>32</v>
      </c>
    </row>
    <row r="1687" spans="1:10">
      <c r="A1687" s="1" t="s">
        <v>83</v>
      </c>
      <c r="B1687" s="4">
        <v>40745</v>
      </c>
      <c r="C1687" s="1" t="s">
        <v>193</v>
      </c>
      <c r="D1687" s="1" t="s">
        <v>150</v>
      </c>
      <c r="E1687" s="1">
        <v>2</v>
      </c>
      <c r="F1687" s="1" t="s">
        <v>145</v>
      </c>
      <c r="G1687" s="1">
        <v>31</v>
      </c>
    </row>
    <row r="1688" spans="1:10">
      <c r="A1688" s="1" t="s">
        <v>83</v>
      </c>
      <c r="B1688" s="4">
        <v>40745</v>
      </c>
      <c r="C1688" s="1" t="s">
        <v>193</v>
      </c>
      <c r="D1688" s="1" t="s">
        <v>150</v>
      </c>
      <c r="E1688" s="1">
        <v>2</v>
      </c>
      <c r="F1688" s="1" t="s">
        <v>145</v>
      </c>
      <c r="G1688" s="1">
        <v>29</v>
      </c>
    </row>
    <row r="1689" spans="1:10">
      <c r="A1689" s="1" t="s">
        <v>85</v>
      </c>
      <c r="B1689" s="4">
        <v>40750</v>
      </c>
      <c r="C1689" s="1" t="s">
        <v>182</v>
      </c>
      <c r="J1689" s="1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336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38" sqref="A138:XFD138"/>
    </sheetView>
  </sheetViews>
  <sheetFormatPr defaultRowHeight="15"/>
  <cols>
    <col min="1" max="1" width="11.42578125" style="1" customWidth="1"/>
    <col min="2" max="2" width="9.140625" style="80" customWidth="1"/>
    <col min="3" max="3" width="9.140625" style="16" customWidth="1"/>
    <col min="4" max="4" width="7.42578125" style="106" customWidth="1"/>
    <col min="5" max="5" width="6.28515625" style="10" customWidth="1"/>
    <col min="6" max="6" width="6.5703125" style="1" customWidth="1"/>
    <col min="7" max="7" width="7" style="120" customWidth="1"/>
    <col min="8" max="8" width="7.28515625" style="106" customWidth="1"/>
    <col min="9" max="9" width="6.5703125" style="10" customWidth="1"/>
    <col min="10" max="10" width="6.85546875" style="1" customWidth="1"/>
    <col min="11" max="11" width="7.42578125" style="17" customWidth="1"/>
    <col min="12" max="12" width="7.5703125" style="106" customWidth="1"/>
    <col min="13" max="13" width="7" style="10" customWidth="1"/>
    <col min="14" max="14" width="7.140625" style="1" customWidth="1"/>
    <col min="15" max="15" width="9.85546875" style="17" customWidth="1"/>
    <col min="16" max="16" width="7.28515625" style="42" customWidth="1"/>
    <col min="17" max="17" width="6.85546875" style="7" customWidth="1"/>
    <col min="18" max="18" width="6.28515625" style="1" customWidth="1"/>
    <col min="19" max="19" width="7" style="15" customWidth="1"/>
    <col min="20" max="20" width="8" style="42" customWidth="1"/>
    <col min="21" max="21" width="6.7109375" style="7" customWidth="1"/>
    <col min="22" max="22" width="6.42578125" style="7" customWidth="1"/>
    <col min="23" max="23" width="7.7109375" style="126" customWidth="1"/>
    <col min="24" max="24" width="9.7109375" style="13" customWidth="1"/>
    <col min="25" max="25" width="9.5703125" style="1" customWidth="1"/>
    <col min="26" max="26" width="9.85546875" style="17" customWidth="1"/>
    <col min="27" max="27" width="7" style="13" customWidth="1"/>
    <col min="28" max="28" width="7" style="1" customWidth="1"/>
    <col min="29" max="29" width="7.42578125" style="1" customWidth="1"/>
    <col min="30" max="30" width="7.85546875" style="17" customWidth="1"/>
    <col min="31" max="31" width="12.28515625" style="42" customWidth="1"/>
    <col min="32" max="32" width="11" style="7" customWidth="1"/>
    <col min="33" max="33" width="9.42578125" style="7" customWidth="1"/>
    <col min="34" max="34" width="8.7109375" style="7" customWidth="1"/>
    <col min="35" max="35" width="9.140625" style="48" customWidth="1"/>
    <col min="36" max="36" width="9.140625" style="13" customWidth="1"/>
    <col min="37" max="37" width="8" style="120" customWidth="1"/>
    <col min="38" max="38" width="9.140625" style="13" customWidth="1"/>
    <col min="39" max="41" width="9.140625" style="1" customWidth="1"/>
    <col min="42" max="42" width="9.140625" style="16" customWidth="1"/>
    <col min="43" max="44" width="9.140625" style="18" customWidth="1"/>
    <col min="45" max="45" width="9.140625" style="121" customWidth="1"/>
    <col min="46" max="46" width="14.28515625" style="121" customWidth="1"/>
    <col min="47" max="47" width="14.28515625" style="1" customWidth="1"/>
    <col min="48" max="48" width="9.42578125" style="24" customWidth="1"/>
    <col min="49" max="49" width="9.140625" style="86" customWidth="1"/>
    <col min="50" max="50" width="9.140625" style="16" customWidth="1"/>
    <col min="51" max="51" width="44" customWidth="1"/>
  </cols>
  <sheetData>
    <row r="1" spans="1:51" ht="15.75">
      <c r="A1" s="18"/>
      <c r="B1" s="77"/>
      <c r="C1" s="19"/>
      <c r="D1" s="133" t="s">
        <v>25</v>
      </c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5"/>
      <c r="X1" s="22"/>
      <c r="Y1" s="23"/>
      <c r="Z1" s="23"/>
      <c r="AA1" s="23"/>
      <c r="AB1" s="23"/>
      <c r="AC1" s="23"/>
      <c r="AD1" s="23"/>
      <c r="AE1" s="116"/>
      <c r="AF1" s="116"/>
      <c r="AG1" s="116"/>
      <c r="AH1" s="116"/>
      <c r="AI1" s="116"/>
      <c r="AJ1" s="140" t="s">
        <v>52</v>
      </c>
      <c r="AK1" s="141"/>
      <c r="AL1" s="141"/>
      <c r="AM1" s="141"/>
      <c r="AN1" s="149"/>
      <c r="AO1" s="149"/>
      <c r="AP1" s="150"/>
      <c r="AQ1" s="158" t="s">
        <v>213</v>
      </c>
      <c r="AR1" s="159"/>
      <c r="AS1" s="159"/>
      <c r="AT1" s="160"/>
      <c r="AU1" s="142" t="s">
        <v>41</v>
      </c>
      <c r="AV1" s="134"/>
      <c r="AW1" s="134"/>
      <c r="AX1" s="135"/>
      <c r="AY1" s="82" t="s">
        <v>205</v>
      </c>
    </row>
    <row r="2" spans="1:51" s="2" customFormat="1" ht="31.15" customHeight="1">
      <c r="A2" s="20"/>
      <c r="B2" s="78"/>
      <c r="C2" s="21"/>
      <c r="D2" s="151" t="s">
        <v>31</v>
      </c>
      <c r="E2" s="152"/>
      <c r="F2" s="152"/>
      <c r="G2" s="153"/>
      <c r="H2" s="146" t="s">
        <v>35</v>
      </c>
      <c r="I2" s="147"/>
      <c r="J2" s="147"/>
      <c r="K2" s="154"/>
      <c r="L2" s="146" t="s">
        <v>34</v>
      </c>
      <c r="M2" s="147"/>
      <c r="N2" s="147"/>
      <c r="O2" s="154"/>
      <c r="P2" s="146" t="s">
        <v>33</v>
      </c>
      <c r="Q2" s="147"/>
      <c r="R2" s="147"/>
      <c r="S2" s="154"/>
      <c r="T2" s="155" t="s">
        <v>32</v>
      </c>
      <c r="U2" s="156"/>
      <c r="V2" s="156"/>
      <c r="W2" s="157"/>
      <c r="X2" s="140" t="s">
        <v>37</v>
      </c>
      <c r="Y2" s="141"/>
      <c r="Z2" s="142"/>
      <c r="AA2" s="133" t="s">
        <v>56</v>
      </c>
      <c r="AB2" s="134"/>
      <c r="AC2" s="134"/>
      <c r="AD2" s="135"/>
      <c r="AE2" s="143" t="s">
        <v>46</v>
      </c>
      <c r="AF2" s="144"/>
      <c r="AG2" s="144"/>
      <c r="AH2" s="144"/>
      <c r="AI2" s="145"/>
      <c r="AJ2" s="12"/>
      <c r="AK2" s="118"/>
      <c r="AL2" s="146" t="s">
        <v>54</v>
      </c>
      <c r="AM2" s="147"/>
      <c r="AN2" s="147"/>
      <c r="AO2" s="147"/>
      <c r="AP2" s="148"/>
      <c r="AQ2" s="161" t="s">
        <v>212</v>
      </c>
      <c r="AR2" s="161" t="s">
        <v>214</v>
      </c>
      <c r="AS2" s="163" t="s">
        <v>215</v>
      </c>
      <c r="AT2" s="165" t="s">
        <v>216</v>
      </c>
      <c r="AU2" s="147" t="s">
        <v>212</v>
      </c>
      <c r="AV2" s="167" t="s">
        <v>55</v>
      </c>
      <c r="AW2" s="168" t="s">
        <v>43</v>
      </c>
      <c r="AX2" s="170" t="s">
        <v>42</v>
      </c>
      <c r="AY2" s="81"/>
    </row>
    <row r="3" spans="1:51" s="30" customFormat="1" ht="47.25">
      <c r="A3" s="32" t="s">
        <v>0</v>
      </c>
      <c r="B3" s="79" t="s">
        <v>4</v>
      </c>
      <c r="C3" s="34" t="s">
        <v>24</v>
      </c>
      <c r="D3" s="105" t="s">
        <v>28</v>
      </c>
      <c r="E3" s="103" t="s">
        <v>29</v>
      </c>
      <c r="F3" s="26" t="s">
        <v>30</v>
      </c>
      <c r="G3" s="119" t="s">
        <v>36</v>
      </c>
      <c r="H3" s="105" t="s">
        <v>28</v>
      </c>
      <c r="I3" s="103" t="s">
        <v>29</v>
      </c>
      <c r="J3" s="26" t="s">
        <v>30</v>
      </c>
      <c r="K3" s="28" t="s">
        <v>36</v>
      </c>
      <c r="L3" s="105" t="s">
        <v>28</v>
      </c>
      <c r="M3" s="103" t="s">
        <v>29</v>
      </c>
      <c r="N3" s="26" t="s">
        <v>30</v>
      </c>
      <c r="O3" s="28" t="s">
        <v>36</v>
      </c>
      <c r="P3" s="110" t="s">
        <v>28</v>
      </c>
      <c r="Q3" s="112" t="s">
        <v>29</v>
      </c>
      <c r="R3" s="26" t="s">
        <v>30</v>
      </c>
      <c r="S3" s="28" t="s">
        <v>36</v>
      </c>
      <c r="T3" s="110" t="s">
        <v>28</v>
      </c>
      <c r="U3" s="112" t="s">
        <v>29</v>
      </c>
      <c r="V3" s="112" t="s">
        <v>30</v>
      </c>
      <c r="W3" s="125" t="s">
        <v>36</v>
      </c>
      <c r="X3" s="27" t="s">
        <v>38</v>
      </c>
      <c r="Y3" s="26" t="s">
        <v>39</v>
      </c>
      <c r="Z3" s="29" t="s">
        <v>40</v>
      </c>
      <c r="AA3" s="27" t="s">
        <v>44</v>
      </c>
      <c r="AB3" s="26" t="s">
        <v>26</v>
      </c>
      <c r="AC3" s="26" t="s">
        <v>45</v>
      </c>
      <c r="AD3" s="29" t="s">
        <v>27</v>
      </c>
      <c r="AE3" s="110" t="s">
        <v>48</v>
      </c>
      <c r="AF3" s="112" t="s">
        <v>51</v>
      </c>
      <c r="AG3" s="112" t="s">
        <v>47</v>
      </c>
      <c r="AH3" s="112" t="s">
        <v>49</v>
      </c>
      <c r="AI3" s="114" t="s">
        <v>50</v>
      </c>
      <c r="AJ3" s="27" t="s">
        <v>49</v>
      </c>
      <c r="AK3" s="119" t="s">
        <v>53</v>
      </c>
      <c r="AL3" s="27" t="s">
        <v>31</v>
      </c>
      <c r="AM3" s="26" t="s">
        <v>35</v>
      </c>
      <c r="AN3" s="26" t="s">
        <v>34</v>
      </c>
      <c r="AO3" s="26" t="s">
        <v>33</v>
      </c>
      <c r="AP3" s="29" t="s">
        <v>32</v>
      </c>
      <c r="AQ3" s="162"/>
      <c r="AR3" s="162"/>
      <c r="AS3" s="164"/>
      <c r="AT3" s="166"/>
      <c r="AU3" s="147"/>
      <c r="AV3" s="167"/>
      <c r="AW3" s="169"/>
      <c r="AX3" s="171"/>
      <c r="AY3" s="26"/>
    </row>
    <row r="4" spans="1:51">
      <c r="A4" s="1" t="s">
        <v>110</v>
      </c>
      <c r="B4" s="80">
        <v>40773</v>
      </c>
      <c r="C4" s="16" t="s">
        <v>198</v>
      </c>
      <c r="D4" s="106">
        <v>0.1</v>
      </c>
      <c r="E4" s="10">
        <v>0.06</v>
      </c>
      <c r="F4" s="1" t="s">
        <v>199</v>
      </c>
      <c r="G4" s="120">
        <v>100</v>
      </c>
      <c r="H4" s="106">
        <v>0.36</v>
      </c>
      <c r="I4" s="10">
        <v>0.11</v>
      </c>
      <c r="J4" s="1" t="s">
        <v>199</v>
      </c>
      <c r="K4" s="17">
        <v>100</v>
      </c>
      <c r="L4" s="106">
        <v>0.56999999999999995</v>
      </c>
      <c r="M4" s="10">
        <v>0.11</v>
      </c>
      <c r="N4" s="1" t="s">
        <v>199</v>
      </c>
      <c r="O4" s="17">
        <v>100</v>
      </c>
      <c r="P4" s="42">
        <v>1</v>
      </c>
      <c r="Q4" s="7">
        <v>0.13</v>
      </c>
      <c r="R4" s="1" t="s">
        <v>199</v>
      </c>
      <c r="S4" s="15">
        <v>100</v>
      </c>
      <c r="T4" s="42">
        <v>1.3</v>
      </c>
      <c r="U4" s="7">
        <v>0.12</v>
      </c>
      <c r="V4" s="7" t="s">
        <v>199</v>
      </c>
      <c r="W4" s="126">
        <v>100</v>
      </c>
      <c r="X4" s="13">
        <v>0</v>
      </c>
      <c r="Y4" s="1">
        <v>0</v>
      </c>
      <c r="Z4" s="17">
        <v>2</v>
      </c>
      <c r="AA4" s="13">
        <v>0</v>
      </c>
      <c r="AB4" s="1">
        <v>0</v>
      </c>
      <c r="AC4" s="1">
        <v>0</v>
      </c>
      <c r="AD4" s="17">
        <v>0</v>
      </c>
      <c r="AE4" s="42">
        <v>0</v>
      </c>
      <c r="AF4" s="7">
        <v>0</v>
      </c>
      <c r="AG4" s="7">
        <v>1.38</v>
      </c>
      <c r="AH4" s="7">
        <v>0.13</v>
      </c>
      <c r="AI4" s="48">
        <v>0.19</v>
      </c>
      <c r="AP4" s="17"/>
      <c r="AQ4" s="17"/>
      <c r="AR4" s="17"/>
      <c r="AS4" s="120"/>
      <c r="AT4" s="120"/>
      <c r="AY4" s="1"/>
    </row>
    <row r="5" spans="1:51">
      <c r="A5" s="1" t="s">
        <v>110</v>
      </c>
      <c r="B5" s="80">
        <v>40773</v>
      </c>
      <c r="C5" s="16" t="s">
        <v>200</v>
      </c>
      <c r="D5" s="106">
        <v>0</v>
      </c>
      <c r="E5" s="10">
        <v>0.31</v>
      </c>
      <c r="F5" s="1" t="s">
        <v>201</v>
      </c>
      <c r="G5" s="120">
        <v>100</v>
      </c>
      <c r="H5" s="106">
        <v>0.31</v>
      </c>
      <c r="I5" s="10">
        <v>0.31</v>
      </c>
      <c r="J5" s="1" t="s">
        <v>201</v>
      </c>
      <c r="K5" s="17">
        <v>100</v>
      </c>
      <c r="L5" s="106">
        <v>0.64</v>
      </c>
      <c r="M5" s="10">
        <v>0.31</v>
      </c>
      <c r="N5" s="1" t="s">
        <v>201</v>
      </c>
      <c r="O5" s="17">
        <v>100</v>
      </c>
      <c r="P5" s="42">
        <v>1</v>
      </c>
      <c r="Q5" s="7">
        <v>0.15</v>
      </c>
      <c r="R5" s="1" t="s">
        <v>202</v>
      </c>
      <c r="S5" s="15">
        <v>0</v>
      </c>
      <c r="T5" s="42">
        <v>1.35</v>
      </c>
      <c r="U5" s="7">
        <v>7.0000000000000007E-2</v>
      </c>
      <c r="V5" s="7" t="s">
        <v>201</v>
      </c>
      <c r="W5" s="126">
        <v>100</v>
      </c>
      <c r="X5" s="13">
        <v>0</v>
      </c>
      <c r="Y5" s="1">
        <v>0</v>
      </c>
      <c r="Z5" s="17">
        <v>1</v>
      </c>
      <c r="AA5" s="13">
        <v>0</v>
      </c>
      <c r="AB5" s="1">
        <v>0</v>
      </c>
      <c r="AC5" s="1">
        <v>0</v>
      </c>
      <c r="AD5" s="17">
        <v>0</v>
      </c>
      <c r="AE5" s="42">
        <v>0</v>
      </c>
      <c r="AF5" s="7">
        <v>0</v>
      </c>
      <c r="AG5" s="7">
        <v>1.38</v>
      </c>
      <c r="AH5" s="7">
        <v>0.31</v>
      </c>
      <c r="AI5" s="48">
        <v>0.03</v>
      </c>
      <c r="AJ5" s="13">
        <v>0.24</v>
      </c>
      <c r="AK5" s="120">
        <v>1.82</v>
      </c>
      <c r="AL5" s="13" t="s">
        <v>199</v>
      </c>
      <c r="AM5" s="1" t="s">
        <v>201</v>
      </c>
      <c r="AN5" s="1" t="s">
        <v>202</v>
      </c>
      <c r="AO5" s="1" t="s">
        <v>201</v>
      </c>
      <c r="AP5" s="17" t="s">
        <v>201</v>
      </c>
      <c r="AQ5" s="17"/>
      <c r="AR5" s="17"/>
      <c r="AS5" s="120"/>
      <c r="AT5" s="120"/>
      <c r="AY5" s="1" t="s">
        <v>206</v>
      </c>
    </row>
    <row r="6" spans="1:51">
      <c r="A6" s="1" t="s">
        <v>110</v>
      </c>
      <c r="B6" s="80">
        <v>40773</v>
      </c>
      <c r="C6" s="16" t="s">
        <v>203</v>
      </c>
      <c r="D6" s="106">
        <v>0</v>
      </c>
      <c r="G6" s="120" t="s">
        <v>204</v>
      </c>
      <c r="H6" s="106">
        <v>0.67</v>
      </c>
      <c r="I6" s="10">
        <v>0.24</v>
      </c>
      <c r="J6" s="1" t="s">
        <v>201</v>
      </c>
      <c r="K6" s="17">
        <v>100</v>
      </c>
      <c r="L6" s="106">
        <v>1</v>
      </c>
      <c r="M6" s="10">
        <v>0.38</v>
      </c>
      <c r="N6" s="1" t="s">
        <v>207</v>
      </c>
      <c r="O6" s="17">
        <v>70</v>
      </c>
      <c r="P6" s="42">
        <v>1.22</v>
      </c>
      <c r="Q6" s="7">
        <v>0.38</v>
      </c>
      <c r="R6" s="1" t="s">
        <v>207</v>
      </c>
      <c r="S6" s="15">
        <v>70</v>
      </c>
      <c r="T6" s="42">
        <v>1.39</v>
      </c>
      <c r="U6" s="7">
        <v>0.36</v>
      </c>
      <c r="V6" s="7" t="s">
        <v>207</v>
      </c>
      <c r="W6" s="126">
        <v>70</v>
      </c>
      <c r="X6" s="13">
        <v>0</v>
      </c>
      <c r="Y6" s="1">
        <v>0</v>
      </c>
      <c r="Z6" s="17">
        <v>2</v>
      </c>
      <c r="AA6" s="13">
        <v>0</v>
      </c>
      <c r="AB6" s="1">
        <v>0</v>
      </c>
      <c r="AC6" s="1">
        <v>15</v>
      </c>
      <c r="AD6" s="17">
        <v>21</v>
      </c>
      <c r="AE6" s="42">
        <v>0.37</v>
      </c>
      <c r="AF6" s="7">
        <v>0</v>
      </c>
      <c r="AG6" s="7">
        <v>1.39</v>
      </c>
      <c r="AH6" s="7">
        <v>0.39</v>
      </c>
      <c r="AI6" s="48">
        <v>0</v>
      </c>
      <c r="AJ6" s="13">
        <v>0.25</v>
      </c>
      <c r="AK6" s="120">
        <v>2.38</v>
      </c>
      <c r="AL6" s="13" t="s">
        <v>201</v>
      </c>
      <c r="AM6" s="1" t="s">
        <v>202</v>
      </c>
      <c r="AN6" s="1" t="s">
        <v>201</v>
      </c>
      <c r="AO6" s="1" t="s">
        <v>201</v>
      </c>
      <c r="AP6" s="17" t="s">
        <v>199</v>
      </c>
      <c r="AQ6" s="17"/>
      <c r="AR6" s="17"/>
      <c r="AS6" s="120"/>
      <c r="AT6" s="120"/>
      <c r="AY6" s="1"/>
    </row>
    <row r="7" spans="1:51">
      <c r="A7" s="1" t="s">
        <v>110</v>
      </c>
      <c r="B7" s="80">
        <v>40773</v>
      </c>
      <c r="C7" s="16" t="s">
        <v>208</v>
      </c>
      <c r="D7" s="106">
        <v>7.0000000000000007E-2</v>
      </c>
      <c r="E7" s="10">
        <v>0.35</v>
      </c>
      <c r="F7" s="1" t="s">
        <v>201</v>
      </c>
      <c r="G7" s="120">
        <v>100</v>
      </c>
      <c r="H7" s="106">
        <v>0.5</v>
      </c>
      <c r="I7" s="10">
        <v>0.44</v>
      </c>
      <c r="J7" s="1" t="s">
        <v>207</v>
      </c>
      <c r="K7" s="17" t="s">
        <v>209</v>
      </c>
      <c r="L7" s="106">
        <v>1</v>
      </c>
      <c r="M7" s="10">
        <v>0.42</v>
      </c>
      <c r="N7" s="1" t="s">
        <v>201</v>
      </c>
      <c r="O7" s="17">
        <v>100</v>
      </c>
      <c r="P7" s="42">
        <v>1.5</v>
      </c>
      <c r="Q7" s="7">
        <v>0.34</v>
      </c>
      <c r="R7" s="1" t="s">
        <v>201</v>
      </c>
      <c r="S7" s="15">
        <v>100</v>
      </c>
      <c r="T7" s="42">
        <v>1.95</v>
      </c>
      <c r="U7" s="7">
        <v>0.14000000000000001</v>
      </c>
      <c r="V7" s="7" t="s">
        <v>201</v>
      </c>
      <c r="X7" s="13">
        <v>0</v>
      </c>
      <c r="Y7" s="1">
        <v>0</v>
      </c>
      <c r="Z7" s="17">
        <v>1</v>
      </c>
      <c r="AA7" s="13">
        <v>0</v>
      </c>
      <c r="AB7" s="1">
        <v>1</v>
      </c>
      <c r="AC7" s="1">
        <v>0</v>
      </c>
      <c r="AD7" s="17">
        <v>0</v>
      </c>
      <c r="AE7" s="42">
        <v>0</v>
      </c>
      <c r="AF7" s="7">
        <v>17</v>
      </c>
      <c r="AG7" s="7">
        <v>2.06</v>
      </c>
      <c r="AH7" s="7">
        <v>0.48</v>
      </c>
      <c r="AI7" s="48">
        <v>0.04</v>
      </c>
      <c r="AJ7" s="13">
        <v>0.43</v>
      </c>
      <c r="AK7" s="120">
        <v>2.2400000000000002</v>
      </c>
      <c r="AL7" s="13" t="s">
        <v>210</v>
      </c>
      <c r="AM7" s="1" t="s">
        <v>210</v>
      </c>
      <c r="AN7" s="1" t="s">
        <v>210</v>
      </c>
      <c r="AO7" s="1" t="s">
        <v>207</v>
      </c>
      <c r="AP7" s="17" t="s">
        <v>199</v>
      </c>
      <c r="AQ7" s="17"/>
      <c r="AR7" s="17"/>
      <c r="AS7" s="120"/>
      <c r="AT7" s="120"/>
      <c r="AY7" s="1" t="s">
        <v>211</v>
      </c>
    </row>
    <row r="8" spans="1:51">
      <c r="A8" s="1" t="s">
        <v>110</v>
      </c>
      <c r="B8" s="80">
        <v>40773</v>
      </c>
      <c r="C8" s="16" t="s">
        <v>217</v>
      </c>
      <c r="D8" s="106">
        <v>0.05</v>
      </c>
      <c r="E8" s="10">
        <v>0.05</v>
      </c>
      <c r="F8" s="1" t="s">
        <v>201</v>
      </c>
      <c r="G8" s="120">
        <v>100</v>
      </c>
      <c r="H8" s="106">
        <v>0.59</v>
      </c>
      <c r="I8" s="10">
        <v>0.2</v>
      </c>
      <c r="J8" s="1" t="s">
        <v>201</v>
      </c>
      <c r="K8" s="17">
        <v>100</v>
      </c>
      <c r="L8" s="106">
        <v>1.23</v>
      </c>
      <c r="M8" s="10">
        <v>0.12</v>
      </c>
      <c r="N8" s="1" t="s">
        <v>201</v>
      </c>
      <c r="O8" s="17">
        <v>100</v>
      </c>
      <c r="P8" s="42">
        <v>1.92</v>
      </c>
      <c r="Q8" s="7">
        <v>0.06</v>
      </c>
      <c r="R8" s="1" t="s">
        <v>201</v>
      </c>
      <c r="S8" s="15">
        <v>100</v>
      </c>
      <c r="T8" s="42">
        <v>2.4900000000000002</v>
      </c>
      <c r="U8" s="7">
        <v>0.05</v>
      </c>
      <c r="V8" s="7" t="s">
        <v>201</v>
      </c>
      <c r="W8" s="126">
        <v>100</v>
      </c>
      <c r="X8" s="13">
        <v>0</v>
      </c>
      <c r="Y8" s="1">
        <v>0</v>
      </c>
      <c r="Z8" s="17">
        <v>1</v>
      </c>
      <c r="AA8" s="13">
        <v>0</v>
      </c>
      <c r="AB8" s="1">
        <v>3</v>
      </c>
      <c r="AC8" s="1">
        <v>1</v>
      </c>
      <c r="AD8" s="17">
        <v>0</v>
      </c>
      <c r="AE8" s="42">
        <v>0</v>
      </c>
      <c r="AF8" s="7">
        <v>0</v>
      </c>
      <c r="AG8" s="7">
        <v>2.56</v>
      </c>
      <c r="AH8" s="7">
        <v>0.2</v>
      </c>
      <c r="AI8" s="48">
        <v>0.03</v>
      </c>
      <c r="AJ8" s="13">
        <v>0.17</v>
      </c>
      <c r="AK8" s="120">
        <v>1.48</v>
      </c>
      <c r="AL8" s="13" t="s">
        <v>201</v>
      </c>
      <c r="AM8" s="1" t="s">
        <v>207</v>
      </c>
      <c r="AN8" s="1" t="s">
        <v>207</v>
      </c>
      <c r="AO8" s="1" t="s">
        <v>207</v>
      </c>
      <c r="AP8" s="17" t="s">
        <v>201</v>
      </c>
      <c r="AQ8" s="17" t="s">
        <v>218</v>
      </c>
      <c r="AR8" s="17">
        <v>3.24</v>
      </c>
      <c r="AS8" s="120">
        <v>3.06</v>
      </c>
      <c r="AT8" s="120">
        <v>0.74</v>
      </c>
      <c r="AY8" s="1"/>
    </row>
    <row r="9" spans="1:51">
      <c r="A9" s="1" t="s">
        <v>110</v>
      </c>
      <c r="B9" s="80">
        <v>40773</v>
      </c>
      <c r="C9" s="16" t="s">
        <v>219</v>
      </c>
      <c r="D9" s="106">
        <v>0.05</v>
      </c>
      <c r="E9" s="10">
        <v>0.01</v>
      </c>
      <c r="F9" s="1" t="s">
        <v>199</v>
      </c>
      <c r="G9" s="120">
        <v>100</v>
      </c>
      <c r="H9" s="106">
        <v>0.3</v>
      </c>
      <c r="I9" s="10">
        <v>0.11</v>
      </c>
      <c r="J9" s="1" t="s">
        <v>202</v>
      </c>
      <c r="K9" s="17">
        <v>0</v>
      </c>
      <c r="L9" s="106">
        <v>0.64</v>
      </c>
      <c r="M9" s="10">
        <v>0.18</v>
      </c>
      <c r="N9" s="1" t="s">
        <v>210</v>
      </c>
      <c r="O9" s="17">
        <v>20</v>
      </c>
      <c r="P9" s="42">
        <v>0.93</v>
      </c>
      <c r="Q9" s="7">
        <v>0.17</v>
      </c>
      <c r="R9" s="1" t="s">
        <v>202</v>
      </c>
      <c r="S9" s="15">
        <v>0</v>
      </c>
      <c r="T9" s="42">
        <v>0.05</v>
      </c>
      <c r="U9" s="7">
        <v>0.08</v>
      </c>
      <c r="V9" s="7" t="s">
        <v>202</v>
      </c>
      <c r="W9" s="126">
        <v>0</v>
      </c>
      <c r="X9" s="13">
        <v>0</v>
      </c>
      <c r="Y9" s="1">
        <v>0</v>
      </c>
      <c r="Z9" s="17">
        <v>1</v>
      </c>
      <c r="AA9" s="13">
        <v>0</v>
      </c>
      <c r="AB9" s="1">
        <v>4</v>
      </c>
      <c r="AC9" s="1">
        <v>5</v>
      </c>
      <c r="AD9" s="17">
        <v>0</v>
      </c>
      <c r="AE9" s="42">
        <v>0</v>
      </c>
      <c r="AF9" s="7">
        <v>0</v>
      </c>
      <c r="AG9" s="7">
        <v>1.23</v>
      </c>
      <c r="AH9" s="7">
        <v>0.18</v>
      </c>
      <c r="AI9" s="48">
        <v>0.9</v>
      </c>
      <c r="AJ9" s="13">
        <v>0.34</v>
      </c>
      <c r="AK9" s="120">
        <v>1.77</v>
      </c>
      <c r="AL9" s="13" t="s">
        <v>199</v>
      </c>
      <c r="AM9" s="1" t="s">
        <v>202</v>
      </c>
      <c r="AN9" s="1" t="s">
        <v>202</v>
      </c>
      <c r="AO9" s="1" t="s">
        <v>210</v>
      </c>
      <c r="AP9" s="17" t="s">
        <v>210</v>
      </c>
      <c r="AQ9" s="17"/>
      <c r="AR9" s="17"/>
      <c r="AS9" s="120"/>
      <c r="AT9" s="120"/>
      <c r="AY9" s="1"/>
    </row>
    <row r="10" spans="1:51">
      <c r="A10" s="1" t="s">
        <v>110</v>
      </c>
      <c r="B10" s="80">
        <v>40773</v>
      </c>
      <c r="C10" s="16" t="s">
        <v>220</v>
      </c>
      <c r="D10" s="106">
        <v>0.15</v>
      </c>
      <c r="E10" s="10">
        <v>0.12</v>
      </c>
      <c r="F10" s="1" t="s">
        <v>199</v>
      </c>
      <c r="G10" s="120">
        <v>100</v>
      </c>
      <c r="H10" s="106">
        <v>0.52</v>
      </c>
      <c r="I10" s="10">
        <v>0.16</v>
      </c>
      <c r="J10" s="1" t="s">
        <v>199</v>
      </c>
      <c r="K10" s="17">
        <v>100</v>
      </c>
      <c r="L10" s="106">
        <v>1</v>
      </c>
      <c r="M10" s="10">
        <v>0.15</v>
      </c>
      <c r="N10" s="1" t="s">
        <v>199</v>
      </c>
      <c r="O10" s="17">
        <v>100</v>
      </c>
      <c r="P10" s="42">
        <v>1.25</v>
      </c>
      <c r="Q10" s="7">
        <v>0.24</v>
      </c>
      <c r="R10" s="1" t="s">
        <v>199</v>
      </c>
      <c r="S10" s="15">
        <v>100</v>
      </c>
      <c r="T10" s="42" t="s">
        <v>204</v>
      </c>
      <c r="X10" s="13">
        <v>0</v>
      </c>
      <c r="Y10" s="1">
        <v>0</v>
      </c>
      <c r="Z10" s="17">
        <v>2</v>
      </c>
      <c r="AA10" s="13">
        <v>0</v>
      </c>
      <c r="AB10" s="1">
        <v>1</v>
      </c>
      <c r="AC10" s="1">
        <v>1</v>
      </c>
      <c r="AD10" s="17">
        <v>0</v>
      </c>
      <c r="AE10" s="42">
        <v>0</v>
      </c>
      <c r="AF10" s="7">
        <v>55</v>
      </c>
      <c r="AG10" s="7">
        <v>1.78</v>
      </c>
      <c r="AH10" s="7">
        <v>0.24</v>
      </c>
      <c r="AI10" s="48">
        <v>0.04</v>
      </c>
      <c r="AJ10" s="13">
        <v>0.17</v>
      </c>
      <c r="AK10" s="120">
        <v>1.97</v>
      </c>
      <c r="AL10" s="13" t="s">
        <v>199</v>
      </c>
      <c r="AM10" s="1" t="s">
        <v>210</v>
      </c>
      <c r="AN10" s="1" t="s">
        <v>210</v>
      </c>
      <c r="AO10" s="1" t="s">
        <v>199</v>
      </c>
      <c r="AP10" s="17" t="s">
        <v>199</v>
      </c>
      <c r="AQ10" s="17"/>
      <c r="AR10" s="17"/>
      <c r="AS10" s="120"/>
      <c r="AT10" s="120"/>
      <c r="AY10" s="1"/>
    </row>
    <row r="11" spans="1:51">
      <c r="A11" s="1" t="s">
        <v>109</v>
      </c>
      <c r="B11" s="80">
        <v>40779</v>
      </c>
      <c r="C11" s="16" t="s">
        <v>217</v>
      </c>
      <c r="D11" s="106">
        <v>0.22</v>
      </c>
      <c r="E11" s="10">
        <v>0.1</v>
      </c>
      <c r="F11" s="1" t="s">
        <v>210</v>
      </c>
      <c r="G11" s="120">
        <v>50</v>
      </c>
      <c r="H11" s="106">
        <v>0.32</v>
      </c>
      <c r="I11" s="10">
        <v>7.6999999999999999E-2</v>
      </c>
      <c r="J11" s="1" t="s">
        <v>224</v>
      </c>
      <c r="K11" s="17">
        <v>10</v>
      </c>
      <c r="L11" s="10">
        <v>0.47</v>
      </c>
      <c r="M11" s="10">
        <v>0.11</v>
      </c>
      <c r="N11" s="16" t="s">
        <v>225</v>
      </c>
      <c r="O11" s="13">
        <v>10</v>
      </c>
      <c r="P11" s="42">
        <v>0.68</v>
      </c>
      <c r="Q11" s="7">
        <v>0.04</v>
      </c>
      <c r="R11" s="1" t="s">
        <v>202</v>
      </c>
      <c r="S11" s="15">
        <v>10</v>
      </c>
      <c r="T11" s="42">
        <v>0.97</v>
      </c>
      <c r="U11" s="7">
        <v>0.04</v>
      </c>
      <c r="V11" s="7" t="s">
        <v>199</v>
      </c>
      <c r="W11" s="126">
        <v>100</v>
      </c>
      <c r="X11" s="13">
        <v>0</v>
      </c>
      <c r="Y11" s="1">
        <v>0</v>
      </c>
      <c r="Z11" s="17">
        <v>4</v>
      </c>
      <c r="AA11" s="13">
        <v>0</v>
      </c>
      <c r="AB11" s="1">
        <v>0</v>
      </c>
      <c r="AC11" s="1">
        <v>0</v>
      </c>
      <c r="AD11" s="17">
        <v>0</v>
      </c>
      <c r="AE11" s="42">
        <v>0.22</v>
      </c>
      <c r="AF11" s="7">
        <v>0.4</v>
      </c>
      <c r="AG11" s="7">
        <v>0.96</v>
      </c>
      <c r="AH11" s="7">
        <v>0.13</v>
      </c>
      <c r="AI11" s="48">
        <v>0.24</v>
      </c>
      <c r="AJ11" s="13">
        <v>0.1</v>
      </c>
      <c r="AK11" s="120">
        <v>0.98</v>
      </c>
      <c r="AL11" s="13" t="s">
        <v>225</v>
      </c>
      <c r="AM11" s="1" t="s">
        <v>207</v>
      </c>
      <c r="AN11" s="1" t="s">
        <v>207</v>
      </c>
      <c r="AO11" s="1" t="s">
        <v>207</v>
      </c>
      <c r="AP11" s="17" t="s">
        <v>225</v>
      </c>
      <c r="AQ11" s="17"/>
      <c r="AR11" s="17"/>
      <c r="AS11" s="120"/>
      <c r="AT11" s="120"/>
      <c r="AY11" s="1"/>
    </row>
    <row r="12" spans="1:51">
      <c r="A12" s="1" t="s">
        <v>109</v>
      </c>
      <c r="B12" s="80">
        <v>40779</v>
      </c>
      <c r="C12" s="16" t="s">
        <v>203</v>
      </c>
      <c r="D12" s="106">
        <v>0.2</v>
      </c>
      <c r="E12" s="10">
        <v>0.11</v>
      </c>
      <c r="F12" s="1" t="s">
        <v>199</v>
      </c>
      <c r="G12" s="120">
        <v>100</v>
      </c>
      <c r="H12" s="106">
        <v>0.31</v>
      </c>
      <c r="I12" s="10">
        <v>20</v>
      </c>
      <c r="J12" s="1" t="s">
        <v>199</v>
      </c>
      <c r="K12" s="17">
        <v>100</v>
      </c>
      <c r="L12" s="106">
        <v>0.12</v>
      </c>
      <c r="M12" s="10">
        <v>0.19</v>
      </c>
      <c r="N12" s="1" t="s">
        <v>207</v>
      </c>
      <c r="O12" s="17">
        <v>100</v>
      </c>
      <c r="P12" s="42">
        <v>0.9</v>
      </c>
      <c r="Q12" s="7">
        <v>0.13</v>
      </c>
      <c r="R12" s="1" t="s">
        <v>199</v>
      </c>
      <c r="S12" s="15">
        <v>100</v>
      </c>
      <c r="T12" s="42">
        <v>0.12</v>
      </c>
      <c r="U12" s="7">
        <v>0.04</v>
      </c>
      <c r="V12" s="7" t="s">
        <v>199</v>
      </c>
      <c r="W12" s="126">
        <v>100</v>
      </c>
      <c r="X12" s="13">
        <v>0</v>
      </c>
      <c r="Y12" s="1">
        <v>0</v>
      </c>
      <c r="Z12" s="17">
        <v>0</v>
      </c>
      <c r="AA12" s="13">
        <v>0</v>
      </c>
      <c r="AB12" s="1">
        <v>1</v>
      </c>
      <c r="AC12" s="1">
        <v>0</v>
      </c>
      <c r="AD12" s="17">
        <v>0</v>
      </c>
      <c r="AE12" s="42">
        <v>0</v>
      </c>
      <c r="AF12" s="7">
        <v>0.02</v>
      </c>
      <c r="AG12" s="7">
        <v>1.33</v>
      </c>
      <c r="AH12" s="7">
        <v>0.2</v>
      </c>
      <c r="AI12" s="48">
        <v>0.26</v>
      </c>
      <c r="AJ12" s="13">
        <v>0.26</v>
      </c>
      <c r="AK12" s="120">
        <v>0.84</v>
      </c>
      <c r="AL12" s="13" t="s">
        <v>207</v>
      </c>
      <c r="AM12" s="1" t="s">
        <v>226</v>
      </c>
      <c r="AN12" s="1" t="s">
        <v>210</v>
      </c>
      <c r="AO12" s="1" t="s">
        <v>207</v>
      </c>
      <c r="AP12" s="17" t="s">
        <v>199</v>
      </c>
      <c r="AQ12" s="17"/>
      <c r="AR12" s="17"/>
      <c r="AS12" s="120"/>
      <c r="AT12" s="120"/>
      <c r="AY12" s="1"/>
    </row>
    <row r="13" spans="1:51">
      <c r="A13" s="1" t="s">
        <v>109</v>
      </c>
      <c r="B13" s="80">
        <v>40779</v>
      </c>
      <c r="C13" s="16" t="s">
        <v>220</v>
      </c>
      <c r="D13" s="106">
        <v>0.1</v>
      </c>
      <c r="E13" s="10">
        <v>0.18</v>
      </c>
      <c r="F13" s="1" t="s">
        <v>210</v>
      </c>
      <c r="G13" s="120">
        <v>10</v>
      </c>
      <c r="H13" s="106">
        <v>0.3</v>
      </c>
      <c r="I13" s="10">
        <v>0.04</v>
      </c>
      <c r="J13" s="1" t="s">
        <v>227</v>
      </c>
      <c r="K13" s="17">
        <v>80</v>
      </c>
      <c r="L13" s="106">
        <v>0.6</v>
      </c>
      <c r="M13" s="10">
        <v>0.13</v>
      </c>
      <c r="N13" s="1" t="s">
        <v>210</v>
      </c>
      <c r="O13" s="17">
        <v>20</v>
      </c>
      <c r="P13" s="42">
        <v>1</v>
      </c>
      <c r="Q13" s="7">
        <v>0.13</v>
      </c>
      <c r="R13" s="1" t="s">
        <v>199</v>
      </c>
      <c r="S13" s="15">
        <v>100</v>
      </c>
      <c r="T13" s="42">
        <v>1.3</v>
      </c>
      <c r="U13" s="7">
        <v>0.19</v>
      </c>
      <c r="V13" s="7" t="s">
        <v>199</v>
      </c>
      <c r="W13" s="126">
        <v>100</v>
      </c>
      <c r="X13" s="13">
        <v>0</v>
      </c>
      <c r="Y13" s="1">
        <v>0</v>
      </c>
      <c r="Z13" s="17">
        <v>4</v>
      </c>
      <c r="AA13" s="13">
        <v>6</v>
      </c>
      <c r="AB13" s="1">
        <v>21</v>
      </c>
      <c r="AC13" s="1">
        <v>21</v>
      </c>
      <c r="AD13" s="17">
        <v>8</v>
      </c>
      <c r="AE13" s="42">
        <v>10</v>
      </c>
      <c r="AF13" s="7">
        <v>0</v>
      </c>
      <c r="AG13" s="7">
        <v>1.45</v>
      </c>
      <c r="AH13" s="7">
        <v>0.16</v>
      </c>
      <c r="AI13" s="48">
        <v>0.48</v>
      </c>
      <c r="AP13" s="17"/>
      <c r="AQ13" s="17"/>
      <c r="AR13" s="17"/>
      <c r="AS13" s="120"/>
      <c r="AT13" s="120"/>
      <c r="AY13" s="1"/>
    </row>
    <row r="14" spans="1:51">
      <c r="A14" s="1" t="s">
        <v>109</v>
      </c>
      <c r="B14" s="80">
        <v>40779</v>
      </c>
      <c r="C14" s="16" t="s">
        <v>219</v>
      </c>
      <c r="D14" s="106">
        <v>0.2</v>
      </c>
      <c r="E14" s="10">
        <v>0.1</v>
      </c>
      <c r="F14" s="1" t="s">
        <v>207</v>
      </c>
      <c r="G14" s="120">
        <v>50</v>
      </c>
      <c r="H14" s="106">
        <v>0.4</v>
      </c>
      <c r="I14" s="10">
        <v>0.12</v>
      </c>
      <c r="J14" s="1" t="s">
        <v>207</v>
      </c>
      <c r="K14" s="17">
        <v>20</v>
      </c>
      <c r="L14" s="106">
        <v>0.57999999999999996</v>
      </c>
      <c r="M14" s="10">
        <v>0.11</v>
      </c>
      <c r="N14" s="1" t="s">
        <v>225</v>
      </c>
      <c r="O14" s="17">
        <v>20</v>
      </c>
      <c r="P14" s="42">
        <v>0.8</v>
      </c>
      <c r="Q14" s="7">
        <v>0.15</v>
      </c>
      <c r="R14" s="1" t="s">
        <v>210</v>
      </c>
      <c r="S14" s="15">
        <v>20</v>
      </c>
      <c r="T14" s="42">
        <v>1</v>
      </c>
      <c r="U14" s="7">
        <v>0.17</v>
      </c>
      <c r="V14" s="7" t="s">
        <v>210</v>
      </c>
      <c r="W14" s="126">
        <v>70</v>
      </c>
      <c r="X14" s="13">
        <v>0</v>
      </c>
      <c r="Y14" s="1">
        <v>0</v>
      </c>
      <c r="Z14" s="17">
        <v>4</v>
      </c>
      <c r="AA14" s="13">
        <v>0</v>
      </c>
      <c r="AB14" s="1">
        <v>1</v>
      </c>
      <c r="AC14" s="1">
        <v>1</v>
      </c>
      <c r="AD14" s="17">
        <v>1</v>
      </c>
      <c r="AE14" s="42">
        <v>0.18</v>
      </c>
      <c r="AF14" s="7">
        <v>0.06</v>
      </c>
      <c r="AG14" s="7">
        <v>1.1599999999999999</v>
      </c>
      <c r="AH14" s="7">
        <v>0.19</v>
      </c>
      <c r="AI14" s="48">
        <v>0.63</v>
      </c>
      <c r="AJ14" s="13">
        <v>0.19</v>
      </c>
      <c r="AK14" s="120">
        <v>0.68</v>
      </c>
      <c r="AL14" s="13" t="s">
        <v>228</v>
      </c>
      <c r="AM14" s="1" t="s">
        <v>228</v>
      </c>
      <c r="AN14" s="1" t="s">
        <v>228</v>
      </c>
      <c r="AO14" s="1" t="s">
        <v>225</v>
      </c>
      <c r="AP14" s="17" t="s">
        <v>210</v>
      </c>
      <c r="AQ14" s="17"/>
      <c r="AR14" s="17"/>
      <c r="AS14" s="120"/>
      <c r="AT14" s="120"/>
      <c r="AY14" s="1" t="s">
        <v>229</v>
      </c>
    </row>
    <row r="15" spans="1:51">
      <c r="A15" s="1" t="s">
        <v>109</v>
      </c>
      <c r="B15" s="80">
        <v>40779</v>
      </c>
      <c r="C15" s="16" t="s">
        <v>200</v>
      </c>
      <c r="D15" s="106">
        <v>0.2</v>
      </c>
      <c r="E15" s="10">
        <v>0.22</v>
      </c>
      <c r="F15" s="1" t="s">
        <v>210</v>
      </c>
      <c r="G15" s="120">
        <v>20</v>
      </c>
      <c r="H15" s="106">
        <v>0.3</v>
      </c>
      <c r="I15" s="10">
        <v>0.19</v>
      </c>
      <c r="J15" s="1" t="s">
        <v>210</v>
      </c>
      <c r="K15" s="17">
        <v>20</v>
      </c>
      <c r="L15" s="106">
        <v>0.6</v>
      </c>
      <c r="M15" s="10">
        <v>0.2</v>
      </c>
      <c r="N15" s="1" t="s">
        <v>210</v>
      </c>
      <c r="O15" s="17">
        <v>50</v>
      </c>
      <c r="P15" s="42">
        <v>0.9</v>
      </c>
      <c r="Q15" s="7">
        <v>7.0000000000000007E-2</v>
      </c>
      <c r="R15" s="1" t="s">
        <v>228</v>
      </c>
      <c r="S15" s="15">
        <v>80</v>
      </c>
      <c r="T15" s="42">
        <v>1.08</v>
      </c>
      <c r="U15" s="7">
        <v>0.1</v>
      </c>
      <c r="V15" s="7" t="s">
        <v>228</v>
      </c>
      <c r="W15" s="126">
        <v>80</v>
      </c>
      <c r="X15" s="13">
        <v>0</v>
      </c>
      <c r="Y15" s="1">
        <v>0</v>
      </c>
      <c r="Z15" s="17">
        <v>4</v>
      </c>
      <c r="AA15" s="13">
        <v>2</v>
      </c>
      <c r="AB15" s="1">
        <v>7</v>
      </c>
      <c r="AC15" s="1">
        <v>8</v>
      </c>
      <c r="AD15" s="17">
        <v>1</v>
      </c>
      <c r="AE15" s="42">
        <v>0</v>
      </c>
      <c r="AF15" s="7">
        <v>12</v>
      </c>
      <c r="AG15" s="7">
        <v>1.32</v>
      </c>
      <c r="AH15" s="7">
        <v>0.2</v>
      </c>
      <c r="AI15" s="48">
        <v>0.15</v>
      </c>
      <c r="AJ15" s="13">
        <v>0.15</v>
      </c>
      <c r="AK15" s="120">
        <v>1.06</v>
      </c>
      <c r="AL15" s="13" t="s">
        <v>207</v>
      </c>
      <c r="AM15" s="1" t="s">
        <v>207</v>
      </c>
      <c r="AN15" s="1" t="s">
        <v>210</v>
      </c>
      <c r="AO15" s="1" t="s">
        <v>210</v>
      </c>
      <c r="AP15" s="17" t="s">
        <v>225</v>
      </c>
      <c r="AQ15" s="17"/>
      <c r="AR15" s="17"/>
      <c r="AS15" s="120"/>
      <c r="AT15" s="120"/>
      <c r="AY15" s="1" t="s">
        <v>230</v>
      </c>
    </row>
    <row r="16" spans="1:51">
      <c r="A16" s="1" t="s">
        <v>109</v>
      </c>
      <c r="B16" s="80">
        <v>40779</v>
      </c>
      <c r="C16" s="16" t="s">
        <v>208</v>
      </c>
      <c r="D16" s="106">
        <v>0.15</v>
      </c>
      <c r="E16" s="10">
        <v>0.09</v>
      </c>
      <c r="F16" s="1" t="s">
        <v>199</v>
      </c>
      <c r="G16" s="120">
        <v>100</v>
      </c>
      <c r="H16" s="106">
        <v>0.3</v>
      </c>
      <c r="I16" s="10">
        <v>0.09</v>
      </c>
      <c r="J16" s="1" t="s">
        <v>207</v>
      </c>
      <c r="K16" s="17">
        <v>50</v>
      </c>
      <c r="L16" s="106">
        <v>0.62</v>
      </c>
      <c r="M16" s="10">
        <v>0.15</v>
      </c>
      <c r="N16" s="1" t="s">
        <v>210</v>
      </c>
      <c r="O16" s="17">
        <v>10</v>
      </c>
      <c r="P16" s="42">
        <v>0.9</v>
      </c>
      <c r="Q16" s="7">
        <v>0.13</v>
      </c>
      <c r="R16" s="1" t="s">
        <v>199</v>
      </c>
      <c r="S16" s="15">
        <v>100</v>
      </c>
      <c r="T16" s="42">
        <v>1.1499999999999999</v>
      </c>
      <c r="U16" s="7">
        <v>0.14000000000000001</v>
      </c>
      <c r="V16" s="7" t="s">
        <v>207</v>
      </c>
      <c r="W16" s="126">
        <v>50</v>
      </c>
      <c r="X16" s="13">
        <v>0</v>
      </c>
      <c r="Y16" s="1">
        <v>0</v>
      </c>
      <c r="Z16" s="17">
        <v>0</v>
      </c>
      <c r="AA16" s="13">
        <v>0</v>
      </c>
      <c r="AB16" s="1">
        <v>0</v>
      </c>
      <c r="AC16" s="1">
        <v>1</v>
      </c>
      <c r="AD16" s="17">
        <v>0</v>
      </c>
      <c r="AE16" s="42">
        <v>0</v>
      </c>
      <c r="AF16" s="7">
        <v>0</v>
      </c>
      <c r="AG16" s="7">
        <v>1.26</v>
      </c>
      <c r="AH16" s="7">
        <v>0.19</v>
      </c>
      <c r="AI16" s="48">
        <v>0.61</v>
      </c>
      <c r="AJ16" s="13">
        <v>0.23</v>
      </c>
      <c r="AK16" s="120">
        <v>1.1100000000000001</v>
      </c>
      <c r="AL16" s="13" t="s">
        <v>199</v>
      </c>
      <c r="AM16" s="1" t="s">
        <v>207</v>
      </c>
      <c r="AN16" s="1" t="s">
        <v>207</v>
      </c>
      <c r="AO16" s="1" t="s">
        <v>210</v>
      </c>
      <c r="AP16" s="17" t="s">
        <v>199</v>
      </c>
      <c r="AQ16" s="17"/>
      <c r="AR16" s="17"/>
      <c r="AS16" s="120"/>
      <c r="AT16" s="120"/>
      <c r="AY16" s="1"/>
    </row>
    <row r="17" spans="1:51">
      <c r="A17" s="1" t="s">
        <v>93</v>
      </c>
      <c r="B17" s="80">
        <v>40767</v>
      </c>
      <c r="C17" s="16" t="s">
        <v>220</v>
      </c>
      <c r="D17" s="106">
        <v>0.25</v>
      </c>
      <c r="E17" s="10">
        <v>0.05</v>
      </c>
      <c r="F17" s="1" t="s">
        <v>210</v>
      </c>
      <c r="G17" s="120">
        <v>0</v>
      </c>
      <c r="H17" s="106">
        <v>0.42</v>
      </c>
      <c r="I17" s="10">
        <v>0.06</v>
      </c>
      <c r="J17" s="1" t="s">
        <v>210</v>
      </c>
      <c r="K17" s="17">
        <v>20</v>
      </c>
      <c r="L17" s="106">
        <v>0.72</v>
      </c>
      <c r="M17" s="10">
        <v>7.0000000000000007E-2</v>
      </c>
      <c r="N17" s="1" t="s">
        <v>210</v>
      </c>
      <c r="O17" s="17">
        <v>20</v>
      </c>
      <c r="P17" s="42">
        <v>1</v>
      </c>
      <c r="Q17" s="7">
        <v>0.08</v>
      </c>
      <c r="R17" s="1" t="s">
        <v>199</v>
      </c>
      <c r="S17" s="15">
        <v>100</v>
      </c>
      <c r="T17" s="42">
        <v>1.1599999999999999</v>
      </c>
      <c r="U17" s="7">
        <v>0.06</v>
      </c>
      <c r="V17" s="7" t="s">
        <v>199</v>
      </c>
      <c r="W17" s="126">
        <v>100</v>
      </c>
      <c r="X17" s="13">
        <v>0</v>
      </c>
      <c r="Y17" s="1">
        <v>3</v>
      </c>
      <c r="Z17" s="17">
        <v>1</v>
      </c>
      <c r="AA17" s="13">
        <v>33</v>
      </c>
      <c r="AB17" s="1">
        <v>36</v>
      </c>
      <c r="AC17" s="1">
        <v>37</v>
      </c>
      <c r="AD17" s="17">
        <v>37</v>
      </c>
      <c r="AE17" s="42">
        <v>0</v>
      </c>
      <c r="AF17" s="7">
        <v>0</v>
      </c>
      <c r="AG17" s="7">
        <v>1.26</v>
      </c>
      <c r="AH17" s="7">
        <v>0.09</v>
      </c>
      <c r="AI17" s="48">
        <v>0.25</v>
      </c>
      <c r="AJ17" s="13">
        <v>1.4E-2</v>
      </c>
      <c r="AK17" s="120">
        <v>1.25</v>
      </c>
      <c r="AL17" s="13" t="s">
        <v>199</v>
      </c>
      <c r="AM17" s="1" t="s">
        <v>210</v>
      </c>
      <c r="AN17" s="1" t="s">
        <v>210</v>
      </c>
      <c r="AO17" s="1" t="s">
        <v>199</v>
      </c>
      <c r="AP17" s="17" t="s">
        <v>210</v>
      </c>
      <c r="AQ17" s="17" t="s">
        <v>233</v>
      </c>
      <c r="AR17" s="17">
        <v>1.47</v>
      </c>
      <c r="AS17" s="120">
        <v>1.47</v>
      </c>
      <c r="AT17" s="120">
        <v>0.22</v>
      </c>
      <c r="AY17" s="1" t="s">
        <v>234</v>
      </c>
    </row>
    <row r="18" spans="1:51">
      <c r="A18" s="1" t="s">
        <v>93</v>
      </c>
      <c r="B18" s="80">
        <v>40767</v>
      </c>
      <c r="C18" s="16" t="s">
        <v>219</v>
      </c>
      <c r="D18" s="106">
        <v>0.2</v>
      </c>
      <c r="E18" s="10">
        <v>0.05</v>
      </c>
      <c r="F18" s="1" t="s">
        <v>210</v>
      </c>
      <c r="G18" s="120">
        <v>50</v>
      </c>
      <c r="H18" s="106">
        <v>0.36</v>
      </c>
      <c r="I18" s="10">
        <v>0.06</v>
      </c>
      <c r="J18" s="1" t="s">
        <v>210</v>
      </c>
      <c r="K18" s="17">
        <v>0</v>
      </c>
      <c r="L18" s="106">
        <v>0.56999999999999995</v>
      </c>
      <c r="M18" s="10">
        <v>0.09</v>
      </c>
      <c r="N18" s="1" t="s">
        <v>210</v>
      </c>
      <c r="O18" s="17">
        <v>0</v>
      </c>
      <c r="P18" s="42">
        <v>0.75</v>
      </c>
      <c r="Q18" s="7">
        <v>0.06</v>
      </c>
      <c r="R18" s="1" t="s">
        <v>210</v>
      </c>
      <c r="S18" s="15">
        <v>50</v>
      </c>
      <c r="T18" s="42">
        <v>1</v>
      </c>
      <c r="U18" s="7">
        <v>0.06</v>
      </c>
      <c r="V18" s="7" t="s">
        <v>225</v>
      </c>
      <c r="W18" s="126">
        <v>50</v>
      </c>
      <c r="X18" s="13">
        <v>0</v>
      </c>
      <c r="Y18" s="1">
        <v>2</v>
      </c>
      <c r="Z18" s="17">
        <v>3</v>
      </c>
      <c r="AA18" s="13">
        <v>34</v>
      </c>
      <c r="AB18" s="1">
        <v>11</v>
      </c>
      <c r="AC18" s="1">
        <v>25</v>
      </c>
      <c r="AD18" s="17">
        <v>27</v>
      </c>
      <c r="AE18" s="42">
        <v>1.4E-2</v>
      </c>
      <c r="AF18" s="7">
        <v>0.09</v>
      </c>
      <c r="AG18" s="7">
        <v>1.1399999999999999</v>
      </c>
      <c r="AH18" s="7">
        <v>0.09</v>
      </c>
      <c r="AI18" s="48">
        <v>0.4</v>
      </c>
      <c r="AJ18" s="13">
        <v>0.12</v>
      </c>
      <c r="AK18" s="120">
        <v>0.75</v>
      </c>
      <c r="AL18" s="13" t="s">
        <v>199</v>
      </c>
      <c r="AM18" s="1" t="s">
        <v>210</v>
      </c>
      <c r="AN18" s="1" t="s">
        <v>210</v>
      </c>
      <c r="AO18" s="1" t="s">
        <v>210</v>
      </c>
      <c r="AP18" s="17" t="s">
        <v>210</v>
      </c>
      <c r="AQ18" s="17"/>
      <c r="AR18" s="17"/>
      <c r="AS18" s="120"/>
      <c r="AT18" s="120"/>
      <c r="AY18" s="1"/>
    </row>
    <row r="19" spans="1:51">
      <c r="A19" s="1" t="s">
        <v>93</v>
      </c>
      <c r="B19" s="80">
        <v>40767</v>
      </c>
      <c r="C19" s="16" t="s">
        <v>208</v>
      </c>
      <c r="D19" s="106">
        <v>0.32</v>
      </c>
      <c r="E19" s="10">
        <v>0.09</v>
      </c>
      <c r="F19" s="1" t="s">
        <v>199</v>
      </c>
      <c r="G19" s="120">
        <v>100</v>
      </c>
      <c r="H19" s="106">
        <v>0.41</v>
      </c>
      <c r="I19" s="10">
        <v>0.1</v>
      </c>
      <c r="J19" s="1" t="s">
        <v>199</v>
      </c>
      <c r="K19" s="17">
        <v>100</v>
      </c>
      <c r="L19" s="106">
        <v>0.55000000000000004</v>
      </c>
      <c r="M19" s="10">
        <v>0.09</v>
      </c>
      <c r="N19" s="1" t="s">
        <v>199</v>
      </c>
      <c r="O19" s="17">
        <v>100</v>
      </c>
      <c r="P19" s="42">
        <v>0.79</v>
      </c>
      <c r="Q19" s="7">
        <v>0.06</v>
      </c>
      <c r="R19" s="1" t="s">
        <v>199</v>
      </c>
      <c r="S19" s="15">
        <v>100</v>
      </c>
      <c r="T19" s="42">
        <v>1</v>
      </c>
      <c r="U19" s="7">
        <v>0.01</v>
      </c>
      <c r="V19" s="7" t="s">
        <v>199</v>
      </c>
      <c r="W19" s="126">
        <v>100</v>
      </c>
      <c r="X19" s="13">
        <v>0</v>
      </c>
      <c r="Y19" s="1">
        <v>0</v>
      </c>
      <c r="Z19" s="17">
        <v>2</v>
      </c>
      <c r="AA19" s="13">
        <v>2</v>
      </c>
      <c r="AB19" s="1">
        <v>0</v>
      </c>
      <c r="AC19" s="1">
        <v>0</v>
      </c>
      <c r="AD19" s="17">
        <v>9</v>
      </c>
      <c r="AE19" s="42">
        <v>0.22</v>
      </c>
      <c r="AF19" s="7">
        <v>0</v>
      </c>
      <c r="AG19" s="7">
        <v>1.1200000000000001</v>
      </c>
      <c r="AH19" s="7">
        <v>0.1</v>
      </c>
      <c r="AI19" s="48">
        <v>0.24</v>
      </c>
      <c r="AJ19" s="13">
        <v>0.44</v>
      </c>
      <c r="AK19" s="120">
        <v>1</v>
      </c>
      <c r="AL19" s="13" t="s">
        <v>199</v>
      </c>
      <c r="AM19" s="1" t="s">
        <v>199</v>
      </c>
      <c r="AN19" s="1" t="s">
        <v>210</v>
      </c>
      <c r="AO19" s="1" t="s">
        <v>207</v>
      </c>
      <c r="AP19" s="17" t="s">
        <v>207</v>
      </c>
      <c r="AQ19" s="17"/>
      <c r="AR19" s="17"/>
      <c r="AS19" s="120"/>
      <c r="AT19" s="120"/>
      <c r="AU19" s="1" t="s">
        <v>218</v>
      </c>
      <c r="AV19" s="24" t="s">
        <v>235</v>
      </c>
      <c r="AW19" s="86" t="s">
        <v>240</v>
      </c>
      <c r="AX19" s="16">
        <v>1</v>
      </c>
      <c r="AY19" s="1"/>
    </row>
    <row r="20" spans="1:51">
      <c r="A20" s="1" t="s">
        <v>93</v>
      </c>
      <c r="B20" s="80">
        <v>40767</v>
      </c>
      <c r="C20" s="16" t="s">
        <v>217</v>
      </c>
      <c r="D20" s="106">
        <v>0.13</v>
      </c>
      <c r="E20" s="10">
        <v>0.04</v>
      </c>
      <c r="F20" s="1" t="s">
        <v>199</v>
      </c>
      <c r="G20" s="120">
        <v>100</v>
      </c>
      <c r="H20" s="106">
        <v>0.36</v>
      </c>
      <c r="I20" s="10">
        <v>0.05</v>
      </c>
      <c r="J20" s="1" t="s">
        <v>199</v>
      </c>
      <c r="K20" s="17">
        <v>100</v>
      </c>
      <c r="L20" s="106">
        <v>0.5</v>
      </c>
      <c r="M20" s="10">
        <v>0.1</v>
      </c>
      <c r="N20" s="1" t="s">
        <v>210</v>
      </c>
      <c r="O20" s="17">
        <v>0</v>
      </c>
      <c r="P20" s="42">
        <v>0.61</v>
      </c>
      <c r="Q20" s="7">
        <v>0</v>
      </c>
      <c r="R20" s="1" t="s">
        <v>210</v>
      </c>
      <c r="S20" s="15" t="s">
        <v>237</v>
      </c>
      <c r="T20" s="42">
        <v>0.7</v>
      </c>
      <c r="V20" s="7" t="s">
        <v>199</v>
      </c>
      <c r="W20" s="126">
        <v>100</v>
      </c>
      <c r="X20" s="13">
        <v>0</v>
      </c>
      <c r="Y20" s="1">
        <v>1</v>
      </c>
      <c r="Z20" s="17">
        <v>3</v>
      </c>
      <c r="AA20" s="13">
        <v>18</v>
      </c>
      <c r="AB20" s="1">
        <v>21</v>
      </c>
      <c r="AC20" s="1">
        <v>11</v>
      </c>
      <c r="AD20" s="17">
        <v>37</v>
      </c>
      <c r="AE20" s="42">
        <v>0</v>
      </c>
      <c r="AF20" s="7">
        <v>0.48</v>
      </c>
      <c r="AG20" s="7">
        <v>0.83</v>
      </c>
      <c r="AH20" s="7">
        <v>0.09</v>
      </c>
      <c r="AI20" s="48">
        <v>0.38</v>
      </c>
      <c r="AJ20" s="13">
        <v>0.24</v>
      </c>
      <c r="AK20" s="120">
        <v>1.45</v>
      </c>
      <c r="AL20" s="13" t="s">
        <v>199</v>
      </c>
      <c r="AM20" s="1" t="s">
        <v>199</v>
      </c>
      <c r="AN20" s="1" t="s">
        <v>199</v>
      </c>
      <c r="AO20" s="1" t="s">
        <v>199</v>
      </c>
      <c r="AP20" s="17" t="s">
        <v>199</v>
      </c>
      <c r="AQ20" s="17"/>
      <c r="AR20" s="17"/>
      <c r="AS20" s="120"/>
      <c r="AT20" s="120"/>
      <c r="AY20" s="1" t="s">
        <v>236</v>
      </c>
    </row>
    <row r="21" spans="1:51">
      <c r="A21" s="1" t="s">
        <v>93</v>
      </c>
      <c r="B21" s="80">
        <v>40767</v>
      </c>
      <c r="C21" s="16" t="s">
        <v>203</v>
      </c>
      <c r="D21" s="106">
        <v>0.15</v>
      </c>
      <c r="E21" s="10">
        <v>0.2</v>
      </c>
      <c r="F21" s="1" t="s">
        <v>199</v>
      </c>
      <c r="G21" s="120">
        <v>100</v>
      </c>
      <c r="H21" s="106">
        <v>0.3</v>
      </c>
      <c r="I21" s="10">
        <v>0.2</v>
      </c>
      <c r="J21" s="1" t="s">
        <v>199</v>
      </c>
      <c r="K21" s="17">
        <v>100</v>
      </c>
      <c r="L21" s="106">
        <v>0.52</v>
      </c>
      <c r="M21" s="10">
        <v>0.15</v>
      </c>
      <c r="N21" s="1" t="s">
        <v>199</v>
      </c>
      <c r="O21" s="17">
        <v>100</v>
      </c>
      <c r="P21" s="42">
        <v>0.77</v>
      </c>
      <c r="Q21" s="7">
        <v>0.1</v>
      </c>
      <c r="R21" s="1" t="s">
        <v>199</v>
      </c>
      <c r="S21" s="15">
        <v>100</v>
      </c>
      <c r="T21" s="42">
        <v>1</v>
      </c>
      <c r="U21" s="7">
        <v>0.06</v>
      </c>
      <c r="V21" s="7" t="s">
        <v>199</v>
      </c>
      <c r="W21" s="126">
        <v>100</v>
      </c>
      <c r="X21" s="13">
        <v>0</v>
      </c>
      <c r="Y21" s="1">
        <v>0</v>
      </c>
      <c r="Z21" s="17">
        <v>6</v>
      </c>
      <c r="AA21" s="13">
        <v>19</v>
      </c>
      <c r="AB21" s="1">
        <v>37</v>
      </c>
      <c r="AC21" s="1">
        <v>37</v>
      </c>
      <c r="AD21" s="17">
        <v>37</v>
      </c>
      <c r="AE21" s="42">
        <v>0</v>
      </c>
      <c r="AF21" s="7">
        <v>0</v>
      </c>
      <c r="AG21" s="7">
        <v>1.29</v>
      </c>
      <c r="AH21" s="7">
        <v>0.24</v>
      </c>
      <c r="AI21" s="48">
        <v>0.02</v>
      </c>
      <c r="AJ21" s="13">
        <v>0.13</v>
      </c>
      <c r="AK21" s="120">
        <v>1.1200000000000001</v>
      </c>
      <c r="AL21" s="13" t="s">
        <v>199</v>
      </c>
      <c r="AM21" s="1" t="s">
        <v>210</v>
      </c>
      <c r="AN21" s="1" t="s">
        <v>225</v>
      </c>
      <c r="AO21" s="1" t="s">
        <v>210</v>
      </c>
      <c r="AP21" s="17" t="s">
        <v>225</v>
      </c>
      <c r="AQ21" s="17"/>
      <c r="AR21" s="17"/>
      <c r="AS21" s="120"/>
      <c r="AT21" s="120"/>
      <c r="AY21" s="1"/>
    </row>
    <row r="22" spans="1:51">
      <c r="A22" s="1" t="s">
        <v>93</v>
      </c>
      <c r="B22" s="80">
        <v>40767</v>
      </c>
      <c r="C22" s="16" t="s">
        <v>200</v>
      </c>
      <c r="D22" s="106">
        <v>7.0000000000000007E-2</v>
      </c>
      <c r="E22" s="10">
        <v>0.01</v>
      </c>
      <c r="F22" s="1" t="s">
        <v>225</v>
      </c>
      <c r="G22" s="120">
        <v>10</v>
      </c>
      <c r="H22" s="106">
        <v>0.18</v>
      </c>
      <c r="I22" s="10">
        <v>0.05</v>
      </c>
      <c r="J22" s="1" t="s">
        <v>225</v>
      </c>
      <c r="K22" s="17">
        <v>30</v>
      </c>
      <c r="L22" s="106">
        <v>0.3</v>
      </c>
      <c r="M22" s="10">
        <v>7.0000000000000007E-2</v>
      </c>
      <c r="N22" s="1" t="s">
        <v>225</v>
      </c>
      <c r="O22" s="17">
        <v>50</v>
      </c>
      <c r="P22" s="42">
        <v>0.46</v>
      </c>
      <c r="Q22" s="7">
        <v>0.01</v>
      </c>
      <c r="R22" s="1" t="s">
        <v>225</v>
      </c>
      <c r="S22" s="15">
        <v>10</v>
      </c>
      <c r="T22" s="42">
        <v>0.62</v>
      </c>
      <c r="U22" s="7">
        <v>0.03</v>
      </c>
      <c r="V22" s="7" t="s">
        <v>210</v>
      </c>
      <c r="W22" s="126">
        <v>0</v>
      </c>
      <c r="X22" s="13">
        <v>0</v>
      </c>
      <c r="Y22" s="1">
        <v>1</v>
      </c>
      <c r="Z22" s="17">
        <v>4</v>
      </c>
      <c r="AA22" s="13">
        <v>37</v>
      </c>
      <c r="AB22" s="1">
        <v>37</v>
      </c>
      <c r="AC22" s="1">
        <v>37</v>
      </c>
      <c r="AD22" s="17">
        <v>37</v>
      </c>
      <c r="AE22" s="42">
        <v>0</v>
      </c>
      <c r="AF22" s="7">
        <v>0</v>
      </c>
      <c r="AG22" s="7">
        <v>0.7</v>
      </c>
      <c r="AH22" s="7">
        <v>0.09</v>
      </c>
      <c r="AI22" s="48">
        <v>0.47</v>
      </c>
      <c r="AJ22" s="13">
        <v>0.14000000000000001</v>
      </c>
      <c r="AK22" s="120">
        <v>1.1399999999999999</v>
      </c>
      <c r="AL22" s="13" t="s">
        <v>199</v>
      </c>
      <c r="AM22" s="1" t="s">
        <v>210</v>
      </c>
      <c r="AN22" s="1" t="s">
        <v>210</v>
      </c>
      <c r="AO22" s="1" t="s">
        <v>225</v>
      </c>
      <c r="AP22" s="17" t="s">
        <v>199</v>
      </c>
      <c r="AQ22" s="17"/>
      <c r="AR22" s="17"/>
      <c r="AS22" s="120"/>
      <c r="AT22" s="120"/>
      <c r="AY22" s="1"/>
    </row>
    <row r="23" spans="1:51">
      <c r="A23" s="1" t="s">
        <v>93</v>
      </c>
      <c r="B23" s="80">
        <v>40767</v>
      </c>
      <c r="C23" s="16" t="s">
        <v>198</v>
      </c>
      <c r="D23" s="106">
        <v>0.34</v>
      </c>
      <c r="E23" s="10">
        <v>0.1</v>
      </c>
      <c r="F23" s="1" t="s">
        <v>199</v>
      </c>
      <c r="G23" s="120">
        <v>100</v>
      </c>
      <c r="H23" s="106">
        <v>0.65</v>
      </c>
      <c r="I23" s="10">
        <v>0.09</v>
      </c>
      <c r="J23" s="1" t="s">
        <v>199</v>
      </c>
      <c r="K23" s="17">
        <v>100</v>
      </c>
      <c r="L23" s="106">
        <v>0.96</v>
      </c>
      <c r="M23" s="10">
        <v>0.09</v>
      </c>
      <c r="N23" s="1" t="s">
        <v>207</v>
      </c>
      <c r="O23" s="17">
        <v>0</v>
      </c>
      <c r="P23" s="42">
        <v>1.19</v>
      </c>
      <c r="Q23" s="7">
        <v>0.05</v>
      </c>
      <c r="R23" s="1" t="s">
        <v>199</v>
      </c>
      <c r="S23" s="15">
        <v>100</v>
      </c>
      <c r="T23" s="42">
        <v>1.4</v>
      </c>
      <c r="U23" s="7">
        <v>0.02</v>
      </c>
      <c r="V23" s="7" t="s">
        <v>199</v>
      </c>
      <c r="W23" s="126">
        <v>100</v>
      </c>
      <c r="X23" s="13">
        <v>0</v>
      </c>
      <c r="Y23" s="1">
        <v>0</v>
      </c>
      <c r="Z23" s="17">
        <v>2</v>
      </c>
      <c r="AA23" s="13">
        <v>25</v>
      </c>
      <c r="AB23" s="1">
        <v>12</v>
      </c>
      <c r="AC23" s="1">
        <v>10</v>
      </c>
      <c r="AD23" s="17">
        <v>15</v>
      </c>
      <c r="AE23" s="42">
        <v>0.2</v>
      </c>
      <c r="AF23" s="7">
        <v>0</v>
      </c>
      <c r="AG23" s="7">
        <v>1.57</v>
      </c>
      <c r="AH23" s="7">
        <v>0.1</v>
      </c>
      <c r="AI23" s="48">
        <v>0.36</v>
      </c>
      <c r="AP23" s="17"/>
      <c r="AQ23" s="17"/>
      <c r="AR23" s="17"/>
      <c r="AS23" s="120"/>
      <c r="AT23" s="120"/>
      <c r="AY23" s="1"/>
    </row>
    <row r="24" spans="1:51">
      <c r="A24" s="1" t="s">
        <v>97</v>
      </c>
      <c r="B24" s="80">
        <v>40767</v>
      </c>
      <c r="C24" s="16" t="s">
        <v>220</v>
      </c>
      <c r="D24" s="106">
        <v>0.2</v>
      </c>
      <c r="E24" s="10">
        <v>0.13</v>
      </c>
      <c r="F24" s="1" t="s">
        <v>227</v>
      </c>
      <c r="G24" s="120">
        <v>50</v>
      </c>
      <c r="H24" s="106">
        <v>0.4</v>
      </c>
      <c r="I24" s="10">
        <v>0.14000000000000001</v>
      </c>
      <c r="J24" s="1" t="s">
        <v>228</v>
      </c>
      <c r="K24" s="17">
        <v>30</v>
      </c>
      <c r="L24" s="106">
        <v>0.8</v>
      </c>
      <c r="M24" s="10">
        <v>0.16</v>
      </c>
      <c r="N24" s="1" t="s">
        <v>227</v>
      </c>
      <c r="O24" s="17">
        <v>40</v>
      </c>
      <c r="P24" s="42">
        <v>0.13</v>
      </c>
      <c r="Q24" s="7">
        <v>0.1</v>
      </c>
      <c r="R24" s="1" t="s">
        <v>228</v>
      </c>
      <c r="S24" s="15">
        <v>30</v>
      </c>
      <c r="T24" s="42">
        <v>0.14000000000000001</v>
      </c>
      <c r="U24" s="7">
        <v>0.1</v>
      </c>
      <c r="V24" s="7" t="s">
        <v>228</v>
      </c>
      <c r="W24" s="126">
        <v>30</v>
      </c>
      <c r="X24" s="13">
        <v>0</v>
      </c>
      <c r="Y24" s="1">
        <v>0</v>
      </c>
      <c r="Z24" s="17">
        <v>3</v>
      </c>
      <c r="AA24" s="13">
        <v>24</v>
      </c>
      <c r="AB24" s="1">
        <v>37</v>
      </c>
      <c r="AC24" s="1">
        <v>12</v>
      </c>
      <c r="AD24" s="17">
        <v>31</v>
      </c>
      <c r="AE24" s="42">
        <v>0.31</v>
      </c>
      <c r="AF24" s="7">
        <v>0.11</v>
      </c>
      <c r="AG24" s="7">
        <v>1.66</v>
      </c>
      <c r="AH24" s="7">
        <v>1.6</v>
      </c>
      <c r="AI24" s="48" t="s">
        <v>239</v>
      </c>
      <c r="AJ24" s="13">
        <v>0.9</v>
      </c>
      <c r="AK24" s="120">
        <v>1.42</v>
      </c>
      <c r="AL24" s="13" t="s">
        <v>228</v>
      </c>
      <c r="AM24" s="1" t="s">
        <v>202</v>
      </c>
      <c r="AN24" s="1" t="s">
        <v>228</v>
      </c>
      <c r="AO24" s="1" t="s">
        <v>225</v>
      </c>
      <c r="AP24" s="17" t="s">
        <v>225</v>
      </c>
      <c r="AQ24" s="17"/>
      <c r="AR24" s="17"/>
      <c r="AS24" s="120"/>
      <c r="AT24" s="120"/>
      <c r="AU24" s="1" t="s">
        <v>233</v>
      </c>
      <c r="AV24" s="24" t="s">
        <v>235</v>
      </c>
      <c r="AW24" s="86" t="s">
        <v>241</v>
      </c>
      <c r="AX24" s="16">
        <v>3</v>
      </c>
      <c r="AY24" s="1" t="s">
        <v>324</v>
      </c>
    </row>
    <row r="25" spans="1:51">
      <c r="A25" s="1" t="s">
        <v>97</v>
      </c>
      <c r="B25" s="80">
        <v>40767</v>
      </c>
      <c r="C25" s="16" t="s">
        <v>219</v>
      </c>
      <c r="D25" s="106">
        <v>0.2</v>
      </c>
      <c r="E25" s="10">
        <v>0.17</v>
      </c>
      <c r="F25" s="1" t="s">
        <v>201</v>
      </c>
      <c r="G25" s="120">
        <v>100</v>
      </c>
      <c r="H25" s="106">
        <v>0.34</v>
      </c>
      <c r="I25" s="10">
        <v>0.14000000000000001</v>
      </c>
      <c r="J25" s="1" t="s">
        <v>228</v>
      </c>
      <c r="K25" s="17">
        <v>50</v>
      </c>
      <c r="L25" s="106">
        <v>0.54</v>
      </c>
      <c r="M25" s="10">
        <v>0.16</v>
      </c>
      <c r="N25" s="1" t="s">
        <v>228</v>
      </c>
      <c r="O25" s="17">
        <v>20</v>
      </c>
      <c r="P25" s="42">
        <v>0.75</v>
      </c>
      <c r="Q25" s="7">
        <v>0.04</v>
      </c>
      <c r="R25" s="1" t="s">
        <v>228</v>
      </c>
      <c r="S25" s="15">
        <v>60</v>
      </c>
      <c r="T25" s="42">
        <v>0.96</v>
      </c>
      <c r="U25" s="7">
        <v>0.03</v>
      </c>
      <c r="V25" s="7" t="s">
        <v>228</v>
      </c>
      <c r="W25" s="126">
        <v>65</v>
      </c>
      <c r="X25" s="13">
        <v>0</v>
      </c>
      <c r="Y25" s="1">
        <v>0</v>
      </c>
      <c r="Z25" s="17">
        <v>3</v>
      </c>
      <c r="AA25" s="13">
        <v>11</v>
      </c>
      <c r="AB25" s="1">
        <v>8</v>
      </c>
      <c r="AC25" s="1">
        <v>14</v>
      </c>
      <c r="AD25" s="17">
        <v>24</v>
      </c>
      <c r="AE25" s="42">
        <v>0.18</v>
      </c>
      <c r="AF25" s="7">
        <v>0.12</v>
      </c>
      <c r="AG25" s="7">
        <v>1.1100000000000001</v>
      </c>
      <c r="AH25" s="7">
        <v>0.17</v>
      </c>
      <c r="AI25" s="48">
        <v>0.01</v>
      </c>
      <c r="AJ25" s="13">
        <v>0.21</v>
      </c>
      <c r="AK25" s="120">
        <v>0.65</v>
      </c>
      <c r="AL25" s="13" t="s">
        <v>225</v>
      </c>
      <c r="AM25" s="1" t="s">
        <v>225</v>
      </c>
      <c r="AN25" s="1" t="s">
        <v>225</v>
      </c>
      <c r="AO25" s="1" t="s">
        <v>225</v>
      </c>
      <c r="AP25" s="17" t="s">
        <v>199</v>
      </c>
      <c r="AQ25" s="17"/>
      <c r="AR25" s="17"/>
      <c r="AS25" s="120"/>
      <c r="AT25" s="120"/>
      <c r="AY25" s="1"/>
    </row>
    <row r="26" spans="1:51">
      <c r="A26" s="1" t="s">
        <v>97</v>
      </c>
      <c r="B26" s="80">
        <v>40767</v>
      </c>
      <c r="C26" s="16" t="s">
        <v>208</v>
      </c>
      <c r="D26" s="106">
        <v>0.38</v>
      </c>
      <c r="E26" s="10">
        <v>0.05</v>
      </c>
      <c r="F26" s="1" t="s">
        <v>201</v>
      </c>
      <c r="G26" s="120">
        <v>100</v>
      </c>
      <c r="H26" s="106">
        <v>0.2</v>
      </c>
      <c r="I26" s="10">
        <v>8.5000000000000006E-2</v>
      </c>
      <c r="J26" s="1" t="s">
        <v>201</v>
      </c>
      <c r="K26" s="17">
        <v>100</v>
      </c>
      <c r="L26" s="106">
        <v>0.1</v>
      </c>
      <c r="M26" s="10">
        <v>0.08</v>
      </c>
      <c r="N26" s="1" t="s">
        <v>201</v>
      </c>
      <c r="O26" s="17">
        <v>100</v>
      </c>
      <c r="P26" s="42">
        <v>0.05</v>
      </c>
      <c r="Q26" s="7">
        <v>8</v>
      </c>
      <c r="R26" s="1" t="s">
        <v>201</v>
      </c>
      <c r="S26" s="15">
        <v>100</v>
      </c>
      <c r="T26" s="42">
        <v>0.01</v>
      </c>
      <c r="U26" s="7">
        <v>0.05</v>
      </c>
      <c r="V26" s="7" t="s">
        <v>201</v>
      </c>
      <c r="W26" s="126">
        <v>100</v>
      </c>
      <c r="X26" s="13">
        <v>0</v>
      </c>
      <c r="Y26" s="1">
        <v>0</v>
      </c>
      <c r="Z26" s="17">
        <v>3</v>
      </c>
      <c r="AA26" s="13">
        <v>0</v>
      </c>
      <c r="AB26" s="1">
        <v>0</v>
      </c>
      <c r="AC26" s="1">
        <v>0</v>
      </c>
      <c r="AD26" s="17">
        <v>0</v>
      </c>
      <c r="AE26" s="42">
        <v>0</v>
      </c>
      <c r="AF26" s="7">
        <v>0</v>
      </c>
      <c r="AG26" s="7">
        <v>0.43</v>
      </c>
      <c r="AH26" s="7">
        <v>0.13</v>
      </c>
      <c r="AI26" s="48">
        <v>0.05</v>
      </c>
      <c r="AJ26" s="13">
        <v>0.25</v>
      </c>
      <c r="AK26" s="120">
        <v>1</v>
      </c>
      <c r="AL26" s="13" t="s">
        <v>228</v>
      </c>
      <c r="AM26" s="1" t="s">
        <v>201</v>
      </c>
      <c r="AN26" s="1" t="s">
        <v>201</v>
      </c>
      <c r="AO26" s="1" t="s">
        <v>201</v>
      </c>
      <c r="AP26" s="17" t="s">
        <v>201</v>
      </c>
      <c r="AQ26" s="17"/>
      <c r="AR26" s="17"/>
      <c r="AS26" s="120"/>
      <c r="AT26" s="120"/>
      <c r="AU26" s="1" t="s">
        <v>218</v>
      </c>
      <c r="AV26" s="24" t="s">
        <v>235</v>
      </c>
      <c r="AW26" s="86" t="s">
        <v>241</v>
      </c>
      <c r="AX26" s="16">
        <v>2</v>
      </c>
      <c r="AY26" s="1"/>
    </row>
    <row r="27" spans="1:51">
      <c r="A27" s="1" t="s">
        <v>97</v>
      </c>
      <c r="B27" s="80">
        <v>40767</v>
      </c>
      <c r="C27" s="16" t="s">
        <v>217</v>
      </c>
      <c r="D27" s="106">
        <v>1.23</v>
      </c>
      <c r="E27" s="10">
        <v>0.31</v>
      </c>
      <c r="F27" s="1" t="s">
        <v>201</v>
      </c>
      <c r="G27" s="120">
        <v>100</v>
      </c>
      <c r="H27" s="106">
        <v>1</v>
      </c>
      <c r="I27" s="10">
        <v>0.42</v>
      </c>
      <c r="J27" s="1" t="s">
        <v>201</v>
      </c>
      <c r="K27" s="17">
        <v>100</v>
      </c>
      <c r="L27" s="106">
        <v>0.75</v>
      </c>
      <c r="M27" s="10">
        <v>0.47</v>
      </c>
      <c r="N27" s="1" t="s">
        <v>201</v>
      </c>
      <c r="O27" s="17">
        <v>100</v>
      </c>
      <c r="P27" s="42">
        <v>0.5</v>
      </c>
      <c r="Q27" s="7">
        <v>0.17</v>
      </c>
      <c r="R27" s="1" t="s">
        <v>228</v>
      </c>
      <c r="S27" s="15">
        <v>30</v>
      </c>
      <c r="T27" s="42">
        <v>0.25</v>
      </c>
      <c r="U27" s="7">
        <v>0</v>
      </c>
      <c r="V27" s="7" t="s">
        <v>228</v>
      </c>
      <c r="W27" s="126">
        <v>30</v>
      </c>
      <c r="X27" s="13">
        <v>0</v>
      </c>
      <c r="Y27" s="1">
        <v>0</v>
      </c>
      <c r="Z27" s="17">
        <v>3</v>
      </c>
      <c r="AA27" s="13">
        <v>0</v>
      </c>
      <c r="AB27" s="1">
        <v>0</v>
      </c>
      <c r="AC27" s="1">
        <v>0</v>
      </c>
      <c r="AD27" s="17">
        <v>0</v>
      </c>
      <c r="AE27" s="42">
        <v>0</v>
      </c>
      <c r="AF27" s="7">
        <v>0.21</v>
      </c>
      <c r="AG27" s="7">
        <v>1.5</v>
      </c>
      <c r="AH27" s="7">
        <v>0.5</v>
      </c>
      <c r="AI27" s="48">
        <v>0</v>
      </c>
      <c r="AJ27" s="13">
        <v>0.21</v>
      </c>
      <c r="AK27" s="120">
        <v>0.75</v>
      </c>
      <c r="AL27" s="13" t="s">
        <v>201</v>
      </c>
      <c r="AM27" s="1" t="s">
        <v>201</v>
      </c>
      <c r="AN27" s="1" t="s">
        <v>228</v>
      </c>
      <c r="AO27" s="1" t="s">
        <v>228</v>
      </c>
      <c r="AP27" s="17" t="s">
        <v>228</v>
      </c>
      <c r="AQ27" s="17"/>
      <c r="AR27" s="17"/>
      <c r="AS27" s="120"/>
      <c r="AT27" s="120"/>
      <c r="AY27" s="1"/>
    </row>
    <row r="28" spans="1:51">
      <c r="A28" s="1" t="s">
        <v>97</v>
      </c>
      <c r="B28" s="80">
        <v>40767</v>
      </c>
      <c r="C28" s="16" t="s">
        <v>203</v>
      </c>
      <c r="D28" s="106">
        <v>0.8</v>
      </c>
      <c r="E28" s="10">
        <v>0.06</v>
      </c>
      <c r="F28" s="1" t="s">
        <v>201</v>
      </c>
      <c r="G28" s="120">
        <v>100</v>
      </c>
      <c r="H28" s="106">
        <v>0.66</v>
      </c>
      <c r="I28" s="10">
        <v>0.16</v>
      </c>
      <c r="J28" s="1" t="s">
        <v>199</v>
      </c>
      <c r="K28" s="17">
        <v>100</v>
      </c>
      <c r="L28" s="106">
        <v>0.45</v>
      </c>
      <c r="M28" s="10">
        <v>0.26</v>
      </c>
      <c r="N28" s="1" t="s">
        <v>201</v>
      </c>
      <c r="O28" s="17">
        <v>100</v>
      </c>
      <c r="P28" s="42">
        <v>0.3</v>
      </c>
      <c r="Q28" s="7">
        <v>5.0000000000000001E-3</v>
      </c>
      <c r="R28" s="1" t="s">
        <v>201</v>
      </c>
      <c r="S28" s="15">
        <v>100</v>
      </c>
      <c r="T28" s="42">
        <v>0.13</v>
      </c>
      <c r="U28" s="7">
        <v>0.05</v>
      </c>
      <c r="V28" s="7" t="s">
        <v>201</v>
      </c>
      <c r="W28" s="126">
        <v>100</v>
      </c>
      <c r="X28" s="13">
        <v>0</v>
      </c>
      <c r="Y28" s="1">
        <v>0</v>
      </c>
      <c r="Z28" s="17">
        <v>3</v>
      </c>
      <c r="AA28" s="13">
        <v>13</v>
      </c>
      <c r="AB28" s="1">
        <v>6</v>
      </c>
      <c r="AC28" s="1">
        <v>6</v>
      </c>
      <c r="AD28" s="17">
        <v>4</v>
      </c>
      <c r="AE28" s="42">
        <v>0.14000000000000001</v>
      </c>
      <c r="AF28" s="7">
        <v>0</v>
      </c>
      <c r="AG28" s="7">
        <v>0.83</v>
      </c>
      <c r="AH28" s="7">
        <v>0.26</v>
      </c>
      <c r="AI28" s="48">
        <v>0.05</v>
      </c>
      <c r="AJ28" s="13">
        <v>0.15</v>
      </c>
      <c r="AK28" s="120">
        <v>0.93</v>
      </c>
      <c r="AL28" s="13" t="s">
        <v>201</v>
      </c>
      <c r="AM28" s="1" t="s">
        <v>201</v>
      </c>
      <c r="AN28" s="1" t="s">
        <v>202</v>
      </c>
      <c r="AO28" s="1" t="s">
        <v>199</v>
      </c>
      <c r="AP28" s="17" t="s">
        <v>228</v>
      </c>
      <c r="AQ28" s="17"/>
      <c r="AR28" s="17"/>
      <c r="AS28" s="120"/>
      <c r="AT28" s="120"/>
      <c r="AY28" s="1"/>
    </row>
    <row r="29" spans="1:51">
      <c r="A29" s="1" t="s">
        <v>97</v>
      </c>
      <c r="B29" s="80">
        <v>40767</v>
      </c>
      <c r="C29" s="16" t="s">
        <v>200</v>
      </c>
      <c r="D29" s="106">
        <v>0.2</v>
      </c>
      <c r="E29" s="10">
        <v>0.05</v>
      </c>
      <c r="F29" s="1" t="s">
        <v>199</v>
      </c>
      <c r="G29" s="120">
        <v>100</v>
      </c>
      <c r="H29" s="106">
        <v>0.4</v>
      </c>
      <c r="I29" s="10">
        <v>0.01</v>
      </c>
      <c r="J29" s="1" t="s">
        <v>199</v>
      </c>
      <c r="K29" s="17">
        <v>100</v>
      </c>
      <c r="L29" s="106">
        <v>0.55000000000000004</v>
      </c>
      <c r="M29" s="10">
        <v>0.06</v>
      </c>
      <c r="N29" s="1" t="s">
        <v>199</v>
      </c>
      <c r="O29" s="17">
        <v>100</v>
      </c>
      <c r="P29" s="42">
        <v>0.8</v>
      </c>
      <c r="Q29" s="7">
        <v>0.03</v>
      </c>
      <c r="R29" s="1" t="s">
        <v>225</v>
      </c>
      <c r="S29" s="15">
        <v>50</v>
      </c>
      <c r="T29" s="42">
        <v>0.95</v>
      </c>
      <c r="U29" s="7">
        <v>0.04</v>
      </c>
      <c r="V29" s="7" t="s">
        <v>225</v>
      </c>
      <c r="W29" s="126">
        <v>50</v>
      </c>
      <c r="X29" s="13">
        <v>0</v>
      </c>
      <c r="Y29" s="1">
        <v>0</v>
      </c>
      <c r="Z29" s="17">
        <v>3</v>
      </c>
      <c r="AA29" s="13">
        <v>33</v>
      </c>
      <c r="AB29" s="1">
        <v>13</v>
      </c>
      <c r="AC29" s="1">
        <v>18</v>
      </c>
      <c r="AD29" s="17">
        <v>4</v>
      </c>
      <c r="AE29" s="42">
        <v>0</v>
      </c>
      <c r="AF29" s="7">
        <v>0</v>
      </c>
      <c r="AG29" s="7">
        <v>0.94</v>
      </c>
      <c r="AH29" s="7">
        <v>0.11</v>
      </c>
      <c r="AI29" s="48">
        <v>0.18</v>
      </c>
      <c r="AJ29" s="13">
        <v>0.19</v>
      </c>
      <c r="AK29" s="120">
        <v>1.07</v>
      </c>
      <c r="AL29" s="13" t="s">
        <v>201</v>
      </c>
      <c r="AM29" s="1" t="s">
        <v>225</v>
      </c>
      <c r="AN29" s="1" t="s">
        <v>225</v>
      </c>
      <c r="AO29" s="1" t="s">
        <v>201</v>
      </c>
      <c r="AP29" s="17" t="s">
        <v>201</v>
      </c>
      <c r="AQ29" s="17"/>
      <c r="AR29" s="17"/>
      <c r="AS29" s="120"/>
      <c r="AT29" s="120"/>
      <c r="AY29" s="1"/>
    </row>
    <row r="30" spans="1:51">
      <c r="A30" s="1" t="s">
        <v>97</v>
      </c>
      <c r="B30" s="80">
        <v>40767</v>
      </c>
      <c r="C30" s="16" t="s">
        <v>198</v>
      </c>
      <c r="D30" s="106">
        <v>0.1</v>
      </c>
      <c r="E30" s="10">
        <v>0.03</v>
      </c>
      <c r="F30" s="1" t="s">
        <v>225</v>
      </c>
      <c r="G30" s="120">
        <v>40</v>
      </c>
      <c r="H30" s="106">
        <v>0.2</v>
      </c>
      <c r="I30" s="10">
        <v>0.06</v>
      </c>
      <c r="J30" s="1" t="s">
        <v>201</v>
      </c>
      <c r="K30" s="17">
        <v>100</v>
      </c>
      <c r="L30" s="106">
        <v>0.36</v>
      </c>
      <c r="M30" s="10">
        <v>0.09</v>
      </c>
      <c r="N30" s="1" t="s">
        <v>210</v>
      </c>
      <c r="O30" s="17">
        <v>40</v>
      </c>
      <c r="P30" s="42">
        <v>0.66</v>
      </c>
      <c r="Q30" s="7">
        <v>7.0000000000000007E-2</v>
      </c>
      <c r="R30" s="1" t="s">
        <v>201</v>
      </c>
      <c r="S30" s="15">
        <v>100</v>
      </c>
      <c r="T30" s="42">
        <v>0.7</v>
      </c>
      <c r="U30" s="7">
        <v>0.06</v>
      </c>
      <c r="V30" s="7" t="s">
        <v>201</v>
      </c>
      <c r="W30" s="126">
        <v>100</v>
      </c>
      <c r="X30" s="13">
        <v>0</v>
      </c>
      <c r="Y30" s="1">
        <v>0</v>
      </c>
      <c r="Z30" s="17">
        <v>3</v>
      </c>
      <c r="AA30" s="13">
        <v>5</v>
      </c>
      <c r="AB30" s="1">
        <v>20</v>
      </c>
      <c r="AC30" s="1">
        <v>10</v>
      </c>
      <c r="AD30" s="17">
        <v>5</v>
      </c>
      <c r="AE30" s="42">
        <v>0.09</v>
      </c>
      <c r="AF30" s="7">
        <v>0.21</v>
      </c>
      <c r="AG30" s="7">
        <v>0.76</v>
      </c>
      <c r="AH30" s="7">
        <v>0.12</v>
      </c>
      <c r="AI30" s="48">
        <v>0.05</v>
      </c>
      <c r="AP30" s="17"/>
      <c r="AQ30" s="17"/>
      <c r="AR30" s="17"/>
      <c r="AS30" s="120"/>
      <c r="AT30" s="120"/>
      <c r="AY30" s="1"/>
    </row>
    <row r="31" spans="1:51">
      <c r="A31" s="1" t="s">
        <v>91</v>
      </c>
      <c r="B31" s="80">
        <v>40765</v>
      </c>
      <c r="C31" s="16" t="s">
        <v>217</v>
      </c>
      <c r="D31" s="106">
        <v>0.2</v>
      </c>
      <c r="E31" s="10">
        <v>0.05</v>
      </c>
      <c r="F31" s="1" t="s">
        <v>199</v>
      </c>
      <c r="G31" s="120">
        <v>100</v>
      </c>
      <c r="H31" s="106">
        <v>0.4</v>
      </c>
      <c r="I31" s="10">
        <v>0.03</v>
      </c>
      <c r="J31" s="1" t="s">
        <v>199</v>
      </c>
      <c r="K31" s="17">
        <v>100</v>
      </c>
      <c r="L31" s="106">
        <v>0.6</v>
      </c>
      <c r="M31" s="10">
        <v>0.05</v>
      </c>
      <c r="N31" s="1" t="s">
        <v>207</v>
      </c>
      <c r="O31" s="17">
        <v>40</v>
      </c>
      <c r="P31" s="42">
        <v>0.8</v>
      </c>
      <c r="Q31" s="7">
        <v>7.0000000000000007E-2</v>
      </c>
      <c r="R31" s="1" t="s">
        <v>207</v>
      </c>
      <c r="S31" s="15">
        <v>30</v>
      </c>
      <c r="T31" s="42">
        <v>1</v>
      </c>
      <c r="U31" s="7">
        <v>0.08</v>
      </c>
      <c r="V31" s="7" t="s">
        <v>207</v>
      </c>
      <c r="W31" s="126">
        <v>50</v>
      </c>
      <c r="X31" s="13">
        <v>0</v>
      </c>
      <c r="Y31" s="1">
        <v>0</v>
      </c>
      <c r="Z31" s="17">
        <v>4</v>
      </c>
      <c r="AA31" s="13">
        <v>1</v>
      </c>
      <c r="AB31" s="1">
        <v>4</v>
      </c>
      <c r="AC31" s="1">
        <v>3</v>
      </c>
      <c r="AD31" s="17">
        <v>10</v>
      </c>
      <c r="AE31" s="42">
        <v>0.23</v>
      </c>
      <c r="AF31" s="7">
        <v>0</v>
      </c>
      <c r="AG31" s="7">
        <v>1.4</v>
      </c>
      <c r="AH31" s="7">
        <v>0.09</v>
      </c>
      <c r="AI31" s="48">
        <v>0.2</v>
      </c>
      <c r="AJ31" s="13">
        <v>0.12</v>
      </c>
      <c r="AK31" s="120">
        <v>0.104</v>
      </c>
      <c r="AL31" s="13" t="s">
        <v>199</v>
      </c>
      <c r="AM31" s="1" t="s">
        <v>210</v>
      </c>
      <c r="AN31" s="1" t="s">
        <v>199</v>
      </c>
      <c r="AO31" s="1" t="s">
        <v>199</v>
      </c>
      <c r="AP31" s="17" t="s">
        <v>199</v>
      </c>
      <c r="AQ31" s="17" t="s">
        <v>242</v>
      </c>
      <c r="AR31" s="17">
        <v>0.86</v>
      </c>
      <c r="AS31" s="120">
        <v>1.42</v>
      </c>
      <c r="AT31" s="120">
        <v>0.23</v>
      </c>
      <c r="AY31" s="1"/>
    </row>
    <row r="32" spans="1:51">
      <c r="A32" s="1" t="s">
        <v>91</v>
      </c>
      <c r="B32" s="80">
        <v>40765</v>
      </c>
      <c r="AP32" s="17"/>
      <c r="AQ32" s="17" t="s">
        <v>242</v>
      </c>
      <c r="AR32" s="17">
        <v>1.67</v>
      </c>
      <c r="AS32" s="120">
        <v>2.64</v>
      </c>
      <c r="AT32" s="120">
        <v>0.23</v>
      </c>
      <c r="AY32" s="1"/>
    </row>
    <row r="33" spans="1:51">
      <c r="A33" s="1" t="s">
        <v>91</v>
      </c>
      <c r="B33" s="80">
        <v>40765</v>
      </c>
      <c r="C33" s="16" t="s">
        <v>220</v>
      </c>
      <c r="D33" s="106">
        <v>0.2</v>
      </c>
      <c r="E33" s="10">
        <v>0.12</v>
      </c>
      <c r="F33" s="1" t="s">
        <v>210</v>
      </c>
      <c r="G33" s="120">
        <v>0</v>
      </c>
      <c r="H33" s="106">
        <v>0.3</v>
      </c>
      <c r="I33" s="10">
        <v>0.08</v>
      </c>
      <c r="J33" s="1" t="s">
        <v>207</v>
      </c>
      <c r="K33" s="17">
        <v>0</v>
      </c>
      <c r="L33" s="106">
        <v>0.43</v>
      </c>
      <c r="M33" s="10">
        <v>0.05</v>
      </c>
      <c r="N33" s="1" t="s">
        <v>199</v>
      </c>
      <c r="O33" s="17">
        <v>100</v>
      </c>
      <c r="P33" s="42">
        <v>0.6</v>
      </c>
      <c r="Q33" s="7">
        <v>0.03</v>
      </c>
      <c r="R33" s="1" t="s">
        <v>199</v>
      </c>
      <c r="S33" s="15">
        <v>100</v>
      </c>
      <c r="T33" s="42">
        <v>0.8</v>
      </c>
      <c r="U33" s="7">
        <v>0.01</v>
      </c>
      <c r="V33" s="7" t="s">
        <v>199</v>
      </c>
      <c r="W33" s="126">
        <v>100</v>
      </c>
      <c r="X33" s="13">
        <v>0</v>
      </c>
      <c r="Y33" s="1">
        <v>0</v>
      </c>
      <c r="Z33" s="17">
        <v>4</v>
      </c>
      <c r="AA33" s="13">
        <v>3</v>
      </c>
      <c r="AB33" s="1">
        <v>17</v>
      </c>
      <c r="AC33" s="1">
        <v>8</v>
      </c>
      <c r="AD33" s="17">
        <v>7</v>
      </c>
      <c r="AE33" s="42">
        <v>0.19</v>
      </c>
      <c r="AF33" s="7">
        <v>0</v>
      </c>
      <c r="AG33" s="7">
        <v>0.85</v>
      </c>
      <c r="AH33" s="7">
        <v>0.13</v>
      </c>
      <c r="AI33" s="48">
        <v>0.41</v>
      </c>
      <c r="AJ33" s="13">
        <v>0.08</v>
      </c>
      <c r="AK33" s="120">
        <v>0.6</v>
      </c>
      <c r="AL33" s="13" t="s">
        <v>210</v>
      </c>
      <c r="AM33" s="1" t="s">
        <v>207</v>
      </c>
      <c r="AN33" s="1" t="s">
        <v>207</v>
      </c>
      <c r="AO33" s="1" t="s">
        <v>207</v>
      </c>
      <c r="AP33" s="17" t="s">
        <v>207</v>
      </c>
      <c r="AQ33" s="17"/>
      <c r="AR33" s="17"/>
      <c r="AS33" s="120"/>
      <c r="AT33" s="120"/>
      <c r="AY33" s="1" t="s">
        <v>243</v>
      </c>
    </row>
    <row r="34" spans="1:51">
      <c r="A34" s="1" t="s">
        <v>91</v>
      </c>
      <c r="B34" s="80">
        <v>40765</v>
      </c>
      <c r="C34" s="16" t="s">
        <v>208</v>
      </c>
      <c r="D34" s="106">
        <v>0.16</v>
      </c>
      <c r="E34" s="10">
        <v>0.03</v>
      </c>
      <c r="F34" s="1" t="s">
        <v>199</v>
      </c>
      <c r="G34" s="120">
        <v>100</v>
      </c>
      <c r="H34" s="106">
        <v>0.34</v>
      </c>
      <c r="I34" s="10">
        <v>0.12</v>
      </c>
      <c r="J34" s="1" t="s">
        <v>207</v>
      </c>
      <c r="K34" s="17">
        <v>10</v>
      </c>
      <c r="L34" s="106">
        <v>0.7</v>
      </c>
      <c r="M34" s="10">
        <v>0.06</v>
      </c>
      <c r="N34" s="1" t="s">
        <v>207</v>
      </c>
      <c r="O34" s="17">
        <v>10</v>
      </c>
      <c r="P34" s="42">
        <v>1</v>
      </c>
      <c r="Q34" s="7">
        <v>0.02</v>
      </c>
      <c r="R34" s="1" t="s">
        <v>207</v>
      </c>
      <c r="S34" s="15">
        <v>10</v>
      </c>
      <c r="T34" s="42">
        <v>1.2</v>
      </c>
      <c r="U34" s="7">
        <v>0.02</v>
      </c>
      <c r="V34" s="7" t="s">
        <v>207</v>
      </c>
      <c r="W34" s="126">
        <v>0</v>
      </c>
      <c r="X34" s="13">
        <v>0</v>
      </c>
      <c r="Y34" s="1">
        <v>0</v>
      </c>
      <c r="Z34" s="17">
        <v>3</v>
      </c>
      <c r="AA34" s="13">
        <v>5</v>
      </c>
      <c r="AB34" s="1">
        <v>4</v>
      </c>
      <c r="AC34" s="1">
        <v>0</v>
      </c>
      <c r="AD34" s="17">
        <v>2</v>
      </c>
      <c r="AE34" s="42">
        <v>0</v>
      </c>
      <c r="AF34" s="7">
        <v>0</v>
      </c>
      <c r="AG34" s="7">
        <v>1.5</v>
      </c>
      <c r="AH34" s="7">
        <v>0.11</v>
      </c>
      <c r="AI34" s="48">
        <v>0.28999999999999998</v>
      </c>
      <c r="AJ34" s="13">
        <v>0.04</v>
      </c>
      <c r="AK34" s="120">
        <v>1.1599999999999999</v>
      </c>
      <c r="AL34" s="13" t="s">
        <v>207</v>
      </c>
      <c r="AM34" s="1" t="s">
        <v>207</v>
      </c>
      <c r="AN34" s="1" t="s">
        <v>207</v>
      </c>
      <c r="AO34" s="1" t="s">
        <v>207</v>
      </c>
      <c r="AP34" s="17" t="s">
        <v>210</v>
      </c>
      <c r="AQ34" s="17" t="s">
        <v>244</v>
      </c>
      <c r="AR34" s="17">
        <v>1.86</v>
      </c>
      <c r="AS34" s="120">
        <v>1.4</v>
      </c>
      <c r="AT34" s="120">
        <v>0.36</v>
      </c>
      <c r="AY34" s="1"/>
    </row>
    <row r="35" spans="1:51">
      <c r="A35" s="1" t="s">
        <v>91</v>
      </c>
      <c r="B35" s="80">
        <v>40765</v>
      </c>
      <c r="C35" s="16" t="s">
        <v>219</v>
      </c>
      <c r="D35" s="106">
        <v>0.2</v>
      </c>
      <c r="E35" s="10">
        <v>0.03</v>
      </c>
      <c r="F35" s="1" t="s">
        <v>199</v>
      </c>
      <c r="G35" s="120">
        <v>100</v>
      </c>
      <c r="H35" s="106">
        <v>0.4</v>
      </c>
      <c r="I35" s="10">
        <v>0.04</v>
      </c>
      <c r="J35" s="1" t="s">
        <v>207</v>
      </c>
      <c r="K35" s="17">
        <v>30</v>
      </c>
      <c r="L35" s="106">
        <v>0.6</v>
      </c>
      <c r="M35" s="10">
        <v>0.14499999999999999</v>
      </c>
      <c r="N35" s="1" t="s">
        <v>207</v>
      </c>
      <c r="O35" s="17">
        <v>10</v>
      </c>
      <c r="P35" s="42">
        <v>0.8</v>
      </c>
      <c r="Q35" s="7">
        <v>0.08</v>
      </c>
      <c r="R35" s="1" t="s">
        <v>207</v>
      </c>
      <c r="S35" s="15">
        <v>10</v>
      </c>
      <c r="T35" s="42">
        <v>1</v>
      </c>
      <c r="U35" s="7">
        <v>0.05</v>
      </c>
      <c r="V35" s="7" t="s">
        <v>199</v>
      </c>
      <c r="W35" s="126">
        <v>100</v>
      </c>
      <c r="X35" s="13">
        <v>0</v>
      </c>
      <c r="Y35" s="1">
        <v>0</v>
      </c>
      <c r="Z35" s="17">
        <v>4</v>
      </c>
      <c r="AA35" s="13">
        <v>2</v>
      </c>
      <c r="AB35" s="1">
        <v>3</v>
      </c>
      <c r="AC35" s="1">
        <v>5</v>
      </c>
      <c r="AD35" s="17">
        <v>6</v>
      </c>
      <c r="AE35" s="42">
        <v>0</v>
      </c>
      <c r="AF35" s="7">
        <v>0.34</v>
      </c>
      <c r="AG35" s="7">
        <v>1.1299999999999999</v>
      </c>
      <c r="AH35" s="7">
        <v>0.08</v>
      </c>
      <c r="AI35" s="48">
        <v>0.09</v>
      </c>
      <c r="AJ35" s="13">
        <v>0.36</v>
      </c>
      <c r="AK35" s="120">
        <v>1.4</v>
      </c>
      <c r="AL35" s="13" t="s">
        <v>199</v>
      </c>
      <c r="AM35" s="1" t="s">
        <v>199</v>
      </c>
      <c r="AN35" s="1" t="s">
        <v>207</v>
      </c>
      <c r="AO35" s="1" t="s">
        <v>199</v>
      </c>
      <c r="AP35" s="17" t="s">
        <v>199</v>
      </c>
      <c r="AQ35" s="17"/>
      <c r="AR35" s="17"/>
      <c r="AS35" s="120"/>
      <c r="AT35" s="120"/>
      <c r="AY35" s="1"/>
    </row>
    <row r="36" spans="1:51">
      <c r="A36" s="1" t="s">
        <v>91</v>
      </c>
      <c r="B36" s="80">
        <v>40765</v>
      </c>
      <c r="C36" s="16" t="s">
        <v>203</v>
      </c>
      <c r="D36" s="106">
        <v>0.1</v>
      </c>
      <c r="E36" s="10">
        <v>0.08</v>
      </c>
      <c r="F36" s="1" t="s">
        <v>199</v>
      </c>
      <c r="G36" s="120">
        <v>100</v>
      </c>
      <c r="H36" s="106">
        <v>0.19</v>
      </c>
      <c r="I36" s="10">
        <v>0.15</v>
      </c>
      <c r="J36" s="1" t="s">
        <v>199</v>
      </c>
      <c r="K36" s="17">
        <v>100</v>
      </c>
      <c r="L36" s="106">
        <v>0.3</v>
      </c>
      <c r="M36" s="10">
        <v>0.17</v>
      </c>
      <c r="N36" s="1" t="s">
        <v>199</v>
      </c>
      <c r="O36" s="17">
        <v>100</v>
      </c>
      <c r="P36" s="42">
        <v>0.4</v>
      </c>
      <c r="Q36" s="7">
        <v>0.2</v>
      </c>
      <c r="R36" s="1" t="s">
        <v>199</v>
      </c>
      <c r="S36" s="15">
        <v>100</v>
      </c>
      <c r="T36" s="42">
        <v>0.48</v>
      </c>
      <c r="U36" s="7">
        <v>0.21</v>
      </c>
      <c r="V36" s="7" t="s">
        <v>210</v>
      </c>
      <c r="W36" s="126">
        <v>0</v>
      </c>
      <c r="X36" s="13">
        <v>0</v>
      </c>
      <c r="Y36" s="1">
        <v>0</v>
      </c>
      <c r="Z36" s="17">
        <v>3</v>
      </c>
      <c r="AA36" s="13">
        <v>2</v>
      </c>
      <c r="AB36" s="1">
        <v>3</v>
      </c>
      <c r="AC36" s="1">
        <v>0</v>
      </c>
      <c r="AD36" s="17">
        <v>8</v>
      </c>
      <c r="AE36" s="42">
        <v>0</v>
      </c>
      <c r="AF36" s="7">
        <v>0</v>
      </c>
      <c r="AG36" s="7">
        <v>0.54</v>
      </c>
      <c r="AH36" s="7">
        <v>0.19</v>
      </c>
      <c r="AI36" s="48">
        <v>0.23</v>
      </c>
      <c r="AJ36" s="13">
        <v>0.15</v>
      </c>
      <c r="AK36" s="120">
        <v>0.79</v>
      </c>
      <c r="AL36" s="13" t="s">
        <v>199</v>
      </c>
      <c r="AM36" s="1" t="s">
        <v>210</v>
      </c>
      <c r="AN36" s="1" t="s">
        <v>210</v>
      </c>
      <c r="AO36" s="1" t="s">
        <v>199</v>
      </c>
      <c r="AP36" s="17" t="s">
        <v>199</v>
      </c>
      <c r="AQ36" s="17"/>
      <c r="AR36" s="17"/>
      <c r="AS36" s="120"/>
      <c r="AT36" s="120"/>
      <c r="AY36" s="1"/>
    </row>
    <row r="37" spans="1:51">
      <c r="A37" s="1" t="s">
        <v>91</v>
      </c>
      <c r="B37" s="80">
        <v>40765</v>
      </c>
      <c r="C37" s="16" t="s">
        <v>200</v>
      </c>
      <c r="D37" s="106">
        <v>0.2</v>
      </c>
      <c r="E37" s="10">
        <v>0.09</v>
      </c>
      <c r="F37" s="1" t="s">
        <v>199</v>
      </c>
      <c r="G37" s="120">
        <v>100</v>
      </c>
      <c r="H37" s="106">
        <v>0.37</v>
      </c>
      <c r="I37" s="10">
        <v>10</v>
      </c>
      <c r="J37" s="1" t="s">
        <v>210</v>
      </c>
      <c r="K37" s="17">
        <v>0</v>
      </c>
      <c r="L37" s="106">
        <v>0.53</v>
      </c>
      <c r="M37" s="10">
        <v>0.08</v>
      </c>
      <c r="N37" s="1" t="s">
        <v>210</v>
      </c>
      <c r="O37" s="17">
        <v>50</v>
      </c>
      <c r="P37" s="42">
        <v>0.7</v>
      </c>
      <c r="Q37" s="7">
        <v>7.0000000000000007E-2</v>
      </c>
      <c r="R37" s="1" t="s">
        <v>199</v>
      </c>
      <c r="S37" s="15">
        <v>100</v>
      </c>
      <c r="T37" s="42">
        <v>0.84</v>
      </c>
      <c r="U37" s="7">
        <v>7.0000000000000007E-2</v>
      </c>
      <c r="V37" s="7" t="s">
        <v>210</v>
      </c>
      <c r="W37" s="126">
        <v>0</v>
      </c>
      <c r="X37" s="13">
        <v>0</v>
      </c>
      <c r="Y37" s="1">
        <v>0</v>
      </c>
      <c r="Z37" s="17">
        <v>4</v>
      </c>
      <c r="AA37" s="13">
        <v>1</v>
      </c>
      <c r="AB37" s="1">
        <v>2</v>
      </c>
      <c r="AC37" s="1">
        <v>4</v>
      </c>
      <c r="AD37" s="17">
        <v>12</v>
      </c>
      <c r="AE37" s="42">
        <v>0</v>
      </c>
      <c r="AF37" s="7">
        <v>0.25</v>
      </c>
      <c r="AG37" s="7">
        <v>0.91</v>
      </c>
      <c r="AH37" s="7">
        <v>0.11</v>
      </c>
      <c r="AI37" s="48">
        <v>0.05</v>
      </c>
      <c r="AJ37" s="13">
        <v>0.15</v>
      </c>
      <c r="AK37" s="120">
        <v>1</v>
      </c>
      <c r="AL37" s="13" t="s">
        <v>199</v>
      </c>
      <c r="AM37" s="1" t="s">
        <v>199</v>
      </c>
      <c r="AN37" s="1" t="s">
        <v>210</v>
      </c>
      <c r="AO37" s="1" t="s">
        <v>199</v>
      </c>
      <c r="AP37" s="17" t="s">
        <v>199</v>
      </c>
      <c r="AQ37" s="17" t="s">
        <v>245</v>
      </c>
      <c r="AR37" s="17">
        <v>1.9</v>
      </c>
      <c r="AS37" s="120">
        <v>1.44</v>
      </c>
      <c r="AT37" s="120">
        <v>0.23</v>
      </c>
      <c r="AY37" s="1"/>
    </row>
    <row r="38" spans="1:51">
      <c r="A38" s="1" t="s">
        <v>91</v>
      </c>
      <c r="B38" s="80">
        <v>40765</v>
      </c>
      <c r="C38" s="16" t="s">
        <v>198</v>
      </c>
      <c r="D38" s="106">
        <v>0.1</v>
      </c>
      <c r="E38" s="10">
        <v>0.03</v>
      </c>
      <c r="F38" s="1" t="s">
        <v>207</v>
      </c>
      <c r="G38" s="120">
        <v>0</v>
      </c>
      <c r="H38" s="106">
        <v>0.3</v>
      </c>
      <c r="I38" s="10">
        <v>0.05</v>
      </c>
      <c r="J38" s="1" t="s">
        <v>210</v>
      </c>
      <c r="K38" s="17">
        <v>0</v>
      </c>
      <c r="L38" s="106">
        <v>0.5</v>
      </c>
      <c r="M38" s="10">
        <v>0.06</v>
      </c>
      <c r="N38" s="1" t="s">
        <v>210</v>
      </c>
      <c r="O38" s="17">
        <v>0</v>
      </c>
      <c r="P38" s="42">
        <v>0.7</v>
      </c>
      <c r="Q38" s="7">
        <v>7.0000000000000007E-2</v>
      </c>
      <c r="R38" s="1" t="s">
        <v>210</v>
      </c>
      <c r="S38" s="15">
        <v>0</v>
      </c>
      <c r="T38" s="42">
        <v>0.86</v>
      </c>
      <c r="U38" s="7">
        <v>0.05</v>
      </c>
      <c r="V38" s="7" t="s">
        <v>210</v>
      </c>
      <c r="W38" s="126">
        <v>0</v>
      </c>
      <c r="X38" s="13">
        <v>0</v>
      </c>
      <c r="Y38" s="1">
        <v>0</v>
      </c>
      <c r="Z38" s="17">
        <v>2</v>
      </c>
      <c r="AA38" s="13">
        <v>0</v>
      </c>
      <c r="AB38" s="1">
        <v>0</v>
      </c>
      <c r="AC38" s="1">
        <v>0</v>
      </c>
      <c r="AD38" s="17">
        <v>11</v>
      </c>
      <c r="AE38" s="42">
        <v>0</v>
      </c>
      <c r="AF38" s="7">
        <v>0.3</v>
      </c>
      <c r="AG38" s="7">
        <v>1</v>
      </c>
      <c r="AH38" s="7">
        <v>0.06</v>
      </c>
      <c r="AI38" s="48">
        <v>0.46</v>
      </c>
      <c r="AP38" s="17"/>
      <c r="AQ38" s="17"/>
      <c r="AR38" s="17"/>
      <c r="AS38" s="120"/>
      <c r="AT38" s="120"/>
      <c r="AY38" s="1"/>
    </row>
    <row r="39" spans="1:51">
      <c r="A39" s="1" t="s">
        <v>92</v>
      </c>
      <c r="B39" s="80">
        <v>40764</v>
      </c>
      <c r="C39" s="16" t="s">
        <v>217</v>
      </c>
      <c r="D39" s="106">
        <v>0.3</v>
      </c>
      <c r="E39" s="10">
        <v>7.0000000000000007E-2</v>
      </c>
      <c r="F39" s="1" t="s">
        <v>199</v>
      </c>
      <c r="G39" s="120">
        <v>100</v>
      </c>
      <c r="H39" s="106">
        <v>0.7</v>
      </c>
      <c r="I39" s="10">
        <v>0.1</v>
      </c>
      <c r="J39" s="1" t="s">
        <v>199</v>
      </c>
      <c r="K39" s="17">
        <v>100</v>
      </c>
      <c r="L39" s="106">
        <v>1.2</v>
      </c>
      <c r="M39" s="10">
        <v>0.13</v>
      </c>
      <c r="N39" s="1" t="s">
        <v>210</v>
      </c>
      <c r="O39" s="17">
        <v>50</v>
      </c>
      <c r="P39" s="42">
        <v>1.7</v>
      </c>
      <c r="Q39" s="7">
        <v>0.15</v>
      </c>
      <c r="R39" s="1" t="s">
        <v>199</v>
      </c>
      <c r="S39" s="15">
        <v>100</v>
      </c>
      <c r="T39" s="42">
        <v>2.06</v>
      </c>
      <c r="U39" s="7">
        <v>0.14000000000000001</v>
      </c>
      <c r="V39" s="7" t="s">
        <v>199</v>
      </c>
      <c r="W39" s="126">
        <v>100</v>
      </c>
      <c r="X39" s="13">
        <v>1</v>
      </c>
      <c r="Y39" s="1">
        <v>1</v>
      </c>
      <c r="Z39" s="17">
        <v>0</v>
      </c>
      <c r="AA39" s="13">
        <v>1</v>
      </c>
      <c r="AB39" s="1">
        <v>3</v>
      </c>
      <c r="AC39" s="1">
        <v>6</v>
      </c>
      <c r="AD39" s="17">
        <v>2</v>
      </c>
      <c r="AE39" s="42">
        <v>0</v>
      </c>
      <c r="AF39" s="7">
        <v>0</v>
      </c>
      <c r="AG39" s="7">
        <v>2.19</v>
      </c>
      <c r="AH39" s="7">
        <v>1.4999999999999999E-2</v>
      </c>
      <c r="AI39" s="48">
        <v>0.18</v>
      </c>
      <c r="AJ39" s="13">
        <v>0.13</v>
      </c>
      <c r="AK39" s="120">
        <v>2.4500000000000002</v>
      </c>
      <c r="AL39" s="13" t="s">
        <v>210</v>
      </c>
      <c r="AM39" s="1" t="s">
        <v>225</v>
      </c>
      <c r="AN39" s="1" t="s">
        <v>207</v>
      </c>
      <c r="AO39" s="1" t="s">
        <v>207</v>
      </c>
      <c r="AP39" s="17" t="s">
        <v>199</v>
      </c>
      <c r="AQ39" s="17"/>
      <c r="AR39" s="17"/>
      <c r="AS39" s="120"/>
      <c r="AT39" s="120"/>
      <c r="AY39" s="1"/>
    </row>
    <row r="40" spans="1:51">
      <c r="A40" s="1" t="s">
        <v>92</v>
      </c>
      <c r="B40" s="80">
        <v>40764</v>
      </c>
      <c r="C40" s="16" t="s">
        <v>203</v>
      </c>
      <c r="D40" s="106">
        <v>0.19</v>
      </c>
      <c r="E40" s="10">
        <v>0.09</v>
      </c>
      <c r="F40" s="1" t="s">
        <v>199</v>
      </c>
      <c r="G40" s="120">
        <v>100</v>
      </c>
      <c r="H40" s="106">
        <v>0.4</v>
      </c>
      <c r="I40" s="10">
        <v>0.12</v>
      </c>
      <c r="J40" s="1" t="s">
        <v>199</v>
      </c>
      <c r="K40" s="17">
        <v>100</v>
      </c>
      <c r="L40" s="106">
        <v>0.7</v>
      </c>
      <c r="M40" s="10">
        <v>0.16</v>
      </c>
      <c r="N40" s="1" t="s">
        <v>199</v>
      </c>
      <c r="O40" s="17">
        <v>100</v>
      </c>
      <c r="P40" s="42">
        <v>1.1399999999999999</v>
      </c>
      <c r="Q40" s="7">
        <v>0.14000000000000001</v>
      </c>
      <c r="R40" s="1" t="s">
        <v>210</v>
      </c>
      <c r="S40" s="15">
        <v>30</v>
      </c>
      <c r="T40" s="42">
        <v>1.7</v>
      </c>
      <c r="U40" s="7">
        <v>0.13</v>
      </c>
      <c r="V40" s="7" t="s">
        <v>199</v>
      </c>
      <c r="W40" s="126">
        <v>100</v>
      </c>
      <c r="X40" s="13">
        <v>0</v>
      </c>
      <c r="Y40" s="1">
        <v>0</v>
      </c>
      <c r="Z40" s="17">
        <v>2</v>
      </c>
      <c r="AA40" s="13">
        <v>4</v>
      </c>
      <c r="AB40" s="1">
        <v>4</v>
      </c>
      <c r="AC40" s="1">
        <v>5</v>
      </c>
      <c r="AD40" s="17">
        <v>3</v>
      </c>
      <c r="AE40" s="42">
        <v>0</v>
      </c>
      <c r="AF40" s="7">
        <v>0</v>
      </c>
      <c r="AG40" s="7">
        <v>1.92</v>
      </c>
      <c r="AH40" s="7">
        <v>0.18</v>
      </c>
      <c r="AI40" s="48">
        <v>0.17</v>
      </c>
      <c r="AJ40" s="13">
        <v>0.16</v>
      </c>
      <c r="AK40" s="120">
        <v>1.24</v>
      </c>
      <c r="AL40" s="13" t="s">
        <v>199</v>
      </c>
      <c r="AM40" s="1" t="s">
        <v>207</v>
      </c>
      <c r="AN40" s="1" t="s">
        <v>225</v>
      </c>
      <c r="AO40" s="1" t="s">
        <v>210</v>
      </c>
      <c r="AP40" s="17" t="s">
        <v>210</v>
      </c>
      <c r="AQ40" s="17"/>
      <c r="AR40" s="17"/>
      <c r="AS40" s="120"/>
      <c r="AT40" s="120"/>
      <c r="AY40" s="1"/>
    </row>
    <row r="41" spans="1:51">
      <c r="A41" s="1" t="s">
        <v>92</v>
      </c>
      <c r="B41" s="80">
        <v>40764</v>
      </c>
      <c r="C41" s="16" t="s">
        <v>208</v>
      </c>
      <c r="D41" s="106">
        <v>0.06</v>
      </c>
      <c r="E41" s="10">
        <v>0.01</v>
      </c>
      <c r="F41" s="1" t="s">
        <v>199</v>
      </c>
      <c r="G41" s="120">
        <v>100</v>
      </c>
      <c r="H41" s="106">
        <v>0.3</v>
      </c>
      <c r="I41" s="10">
        <v>4.4999999999999998E-2</v>
      </c>
      <c r="J41" s="1" t="s">
        <v>207</v>
      </c>
      <c r="K41" s="17">
        <v>20</v>
      </c>
      <c r="L41" s="106">
        <v>0.7</v>
      </c>
      <c r="M41" s="10">
        <v>0.115</v>
      </c>
      <c r="N41" s="1" t="s">
        <v>210</v>
      </c>
      <c r="O41" s="17">
        <v>10</v>
      </c>
      <c r="P41" s="42">
        <v>1</v>
      </c>
      <c r="Q41" s="7">
        <v>0.09</v>
      </c>
      <c r="R41" s="1" t="s">
        <v>210</v>
      </c>
      <c r="S41" s="15">
        <v>10</v>
      </c>
      <c r="T41" s="42">
        <v>1.35</v>
      </c>
      <c r="U41" s="7">
        <v>0.02</v>
      </c>
      <c r="V41" s="7" t="s">
        <v>199</v>
      </c>
      <c r="W41" s="126">
        <v>100</v>
      </c>
      <c r="X41" s="13">
        <v>0</v>
      </c>
      <c r="Y41" s="1">
        <v>1</v>
      </c>
      <c r="Z41" s="17">
        <v>2</v>
      </c>
      <c r="AA41" s="13">
        <v>4</v>
      </c>
      <c r="AB41" s="1">
        <v>3</v>
      </c>
      <c r="AC41" s="1">
        <v>1</v>
      </c>
      <c r="AD41" s="17">
        <v>5</v>
      </c>
      <c r="AE41" s="42">
        <v>0</v>
      </c>
      <c r="AF41" s="7">
        <v>0</v>
      </c>
      <c r="AG41" s="7">
        <v>1.44</v>
      </c>
      <c r="AH41" s="7">
        <v>0.12</v>
      </c>
      <c r="AI41" s="48">
        <v>0.35</v>
      </c>
      <c r="AJ41" s="13">
        <v>0.09</v>
      </c>
      <c r="AK41" s="120">
        <v>1.79</v>
      </c>
      <c r="AL41" s="13" t="s">
        <v>207</v>
      </c>
      <c r="AM41" s="1" t="s">
        <v>225</v>
      </c>
      <c r="AN41" s="1" t="s">
        <v>210</v>
      </c>
      <c r="AO41" s="1" t="s">
        <v>207</v>
      </c>
      <c r="AP41" s="17" t="s">
        <v>207</v>
      </c>
      <c r="AQ41" s="17" t="s">
        <v>233</v>
      </c>
      <c r="AR41" s="17">
        <v>2</v>
      </c>
      <c r="AS41" s="120">
        <v>2.2000000000000002</v>
      </c>
      <c r="AT41" s="120">
        <v>0.39</v>
      </c>
      <c r="AY41" s="1"/>
    </row>
    <row r="42" spans="1:51">
      <c r="A42" s="1" t="s">
        <v>92</v>
      </c>
      <c r="B42" s="80">
        <v>40764</v>
      </c>
      <c r="C42" s="16" t="s">
        <v>220</v>
      </c>
      <c r="D42" s="106">
        <v>0.19</v>
      </c>
      <c r="E42" s="10">
        <v>0.04</v>
      </c>
      <c r="F42" s="1" t="s">
        <v>207</v>
      </c>
      <c r="G42" s="120">
        <v>50</v>
      </c>
      <c r="H42" s="106">
        <v>0.4</v>
      </c>
      <c r="I42" s="10">
        <v>7.0000000000000007E-2</v>
      </c>
      <c r="J42" s="1" t="s">
        <v>199</v>
      </c>
      <c r="K42" s="17">
        <v>100</v>
      </c>
      <c r="L42" s="106">
        <v>0.59</v>
      </c>
      <c r="M42" s="10">
        <v>0.09</v>
      </c>
      <c r="N42" s="1" t="s">
        <v>210</v>
      </c>
      <c r="O42" s="17">
        <v>50</v>
      </c>
      <c r="P42" s="42">
        <v>1</v>
      </c>
      <c r="Q42" s="7">
        <v>0.08</v>
      </c>
      <c r="R42" s="1" t="s">
        <v>210</v>
      </c>
      <c r="S42" s="15">
        <v>50</v>
      </c>
      <c r="T42" s="42">
        <v>1.4</v>
      </c>
      <c r="U42" s="7">
        <v>0.04</v>
      </c>
      <c r="V42" s="7" t="s">
        <v>210</v>
      </c>
      <c r="W42" s="126">
        <v>20</v>
      </c>
      <c r="X42" s="13">
        <v>1</v>
      </c>
      <c r="Y42" s="1">
        <v>1</v>
      </c>
      <c r="Z42" s="17">
        <v>2</v>
      </c>
      <c r="AA42" s="13">
        <v>16</v>
      </c>
      <c r="AB42" s="1">
        <v>11</v>
      </c>
      <c r="AC42" s="1">
        <v>2</v>
      </c>
      <c r="AD42" s="17">
        <v>4</v>
      </c>
      <c r="AE42" s="42">
        <v>0</v>
      </c>
      <c r="AF42" s="7">
        <v>0</v>
      </c>
      <c r="AG42" s="7">
        <v>1.71</v>
      </c>
      <c r="AH42" s="7">
        <v>0.1</v>
      </c>
      <c r="AI42" s="48">
        <v>0.23</v>
      </c>
      <c r="AJ42" s="13">
        <v>0.11</v>
      </c>
      <c r="AK42" s="120">
        <v>1.34</v>
      </c>
      <c r="AL42" s="13" t="s">
        <v>210</v>
      </c>
      <c r="AM42" s="1" t="s">
        <v>225</v>
      </c>
      <c r="AN42" s="1" t="s">
        <v>225</v>
      </c>
      <c r="AO42" s="1" t="s">
        <v>225</v>
      </c>
      <c r="AP42" s="17" t="s">
        <v>199</v>
      </c>
      <c r="AQ42" s="17"/>
      <c r="AR42" s="17"/>
      <c r="AS42" s="120"/>
      <c r="AT42" s="120"/>
      <c r="AY42" s="1"/>
    </row>
    <row r="43" spans="1:51">
      <c r="A43" s="1" t="s">
        <v>92</v>
      </c>
      <c r="B43" s="80">
        <v>40764</v>
      </c>
      <c r="C43" s="16" t="s">
        <v>219</v>
      </c>
      <c r="D43" s="106">
        <v>0.15</v>
      </c>
      <c r="E43" s="10">
        <v>7.0000000000000007E-2</v>
      </c>
      <c r="F43" s="1" t="s">
        <v>199</v>
      </c>
      <c r="G43" s="120">
        <v>100</v>
      </c>
      <c r="H43" s="106">
        <v>0.4</v>
      </c>
      <c r="I43" s="10">
        <v>0.06</v>
      </c>
      <c r="J43" s="1" t="s">
        <v>210</v>
      </c>
      <c r="K43" s="17">
        <v>10</v>
      </c>
      <c r="L43" s="106">
        <v>0.85</v>
      </c>
      <c r="M43" s="10">
        <v>0.09</v>
      </c>
      <c r="N43" s="1" t="s">
        <v>210</v>
      </c>
      <c r="O43" s="17">
        <v>0</v>
      </c>
      <c r="P43" s="42">
        <v>1.22</v>
      </c>
      <c r="Q43" s="7">
        <v>0.08</v>
      </c>
      <c r="R43" s="1" t="s">
        <v>207</v>
      </c>
      <c r="S43" s="15">
        <v>10</v>
      </c>
      <c r="T43" s="42">
        <v>1.52</v>
      </c>
      <c r="U43" s="7">
        <v>5.5E-2</v>
      </c>
      <c r="V43" s="7" t="s">
        <v>210</v>
      </c>
      <c r="W43" s="126">
        <v>50</v>
      </c>
      <c r="X43" s="13">
        <v>0</v>
      </c>
      <c r="Y43" s="1">
        <v>2</v>
      </c>
      <c r="Z43" s="17">
        <v>1</v>
      </c>
      <c r="AA43" s="13">
        <v>5</v>
      </c>
      <c r="AB43" s="1">
        <v>2</v>
      </c>
      <c r="AC43" s="1">
        <v>7</v>
      </c>
      <c r="AD43" s="17">
        <v>3</v>
      </c>
      <c r="AE43" s="42">
        <v>0</v>
      </c>
      <c r="AF43" s="7">
        <v>0</v>
      </c>
      <c r="AG43" s="7">
        <v>1.2549999999999999</v>
      </c>
      <c r="AH43" s="7">
        <v>0.09</v>
      </c>
      <c r="AI43" s="48">
        <v>0.24</v>
      </c>
      <c r="AJ43" s="13">
        <v>0.11</v>
      </c>
      <c r="AK43" s="120">
        <v>3</v>
      </c>
      <c r="AL43" s="13" t="s">
        <v>210</v>
      </c>
      <c r="AM43" s="1" t="s">
        <v>210</v>
      </c>
      <c r="AN43" s="1" t="s">
        <v>225</v>
      </c>
      <c r="AO43" s="1" t="s">
        <v>225</v>
      </c>
      <c r="AP43" s="17" t="s">
        <v>199</v>
      </c>
      <c r="AQ43" s="17"/>
      <c r="AR43" s="17"/>
      <c r="AS43" s="120"/>
      <c r="AT43" s="120"/>
      <c r="AY43" s="1"/>
    </row>
    <row r="44" spans="1:51">
      <c r="A44" s="1" t="s">
        <v>92</v>
      </c>
      <c r="B44" s="80">
        <v>40764</v>
      </c>
      <c r="C44" s="16" t="s">
        <v>200</v>
      </c>
      <c r="D44" s="106">
        <v>0.11</v>
      </c>
      <c r="E44" s="10">
        <v>0.03</v>
      </c>
      <c r="F44" s="1" t="s">
        <v>210</v>
      </c>
      <c r="G44" s="120">
        <v>0</v>
      </c>
      <c r="H44" s="106">
        <v>0.19</v>
      </c>
      <c r="I44" s="10">
        <v>0.04</v>
      </c>
      <c r="J44" s="1" t="s">
        <v>210</v>
      </c>
      <c r="K44" s="17">
        <v>10</v>
      </c>
      <c r="L44" s="106">
        <v>0.3</v>
      </c>
      <c r="M44" s="10">
        <v>0.12</v>
      </c>
      <c r="N44" s="1" t="s">
        <v>210</v>
      </c>
      <c r="O44" s="17">
        <v>10</v>
      </c>
      <c r="P44" s="42">
        <v>0.45</v>
      </c>
      <c r="Q44" s="7">
        <v>0.1</v>
      </c>
      <c r="R44" s="1" t="s">
        <v>202</v>
      </c>
      <c r="S44" s="15">
        <v>0</v>
      </c>
      <c r="T44" s="42">
        <v>0.53</v>
      </c>
      <c r="U44" s="7">
        <v>0.9</v>
      </c>
      <c r="V44" s="7" t="s">
        <v>210</v>
      </c>
      <c r="W44" s="126">
        <v>10</v>
      </c>
      <c r="X44" s="13">
        <v>0</v>
      </c>
      <c r="Y44" s="1">
        <v>1</v>
      </c>
      <c r="Z44" s="17">
        <v>1</v>
      </c>
      <c r="AA44" s="13">
        <v>1</v>
      </c>
      <c r="AB44" s="1">
        <v>1</v>
      </c>
      <c r="AC44" s="1">
        <v>2</v>
      </c>
      <c r="AD44" s="17">
        <v>3</v>
      </c>
      <c r="AE44" s="42">
        <v>0</v>
      </c>
      <c r="AF44" s="7">
        <v>0</v>
      </c>
      <c r="AG44" s="7">
        <v>0.56999999999999995</v>
      </c>
      <c r="AH44" s="7">
        <v>0.13</v>
      </c>
      <c r="AI44" s="48">
        <v>0.76</v>
      </c>
      <c r="AJ44" s="13" t="s">
        <v>247</v>
      </c>
      <c r="AP44" s="17"/>
      <c r="AQ44" s="17"/>
      <c r="AR44" s="17"/>
      <c r="AS44" s="120"/>
      <c r="AT44" s="120"/>
      <c r="AY44" s="1" t="s">
        <v>248</v>
      </c>
    </row>
    <row r="45" spans="1:51">
      <c r="A45" s="1" t="s">
        <v>92</v>
      </c>
      <c r="B45" s="80">
        <v>40764</v>
      </c>
      <c r="C45" s="16" t="s">
        <v>198</v>
      </c>
      <c r="D45" s="106">
        <v>0.05</v>
      </c>
      <c r="E45" s="10">
        <v>0.16</v>
      </c>
      <c r="F45" s="1" t="s">
        <v>207</v>
      </c>
      <c r="G45" s="120">
        <v>100</v>
      </c>
      <c r="H45" s="106">
        <v>0.12</v>
      </c>
      <c r="I45" s="10">
        <v>0.16</v>
      </c>
      <c r="J45" s="1" t="s">
        <v>207</v>
      </c>
      <c r="K45" s="17">
        <v>100</v>
      </c>
      <c r="L45" s="106">
        <v>0.21</v>
      </c>
      <c r="M45" s="10">
        <v>0.16</v>
      </c>
      <c r="N45" s="1" t="s">
        <v>207</v>
      </c>
      <c r="O45" s="17">
        <v>100</v>
      </c>
      <c r="P45" s="42">
        <v>0.33</v>
      </c>
      <c r="Q45" s="7">
        <v>0.18</v>
      </c>
      <c r="R45" s="1" t="s">
        <v>207</v>
      </c>
      <c r="S45" s="15">
        <v>100</v>
      </c>
      <c r="T45" s="42">
        <v>0.46</v>
      </c>
      <c r="U45" s="7">
        <v>0.05</v>
      </c>
      <c r="V45" s="7" t="s">
        <v>228</v>
      </c>
      <c r="W45" s="126">
        <v>30</v>
      </c>
      <c r="X45" s="13">
        <v>0</v>
      </c>
      <c r="Y45" s="1">
        <v>2</v>
      </c>
      <c r="Z45" s="17">
        <v>4</v>
      </c>
      <c r="AA45" s="13">
        <v>15</v>
      </c>
      <c r="AB45" s="1">
        <v>2</v>
      </c>
      <c r="AC45" s="1">
        <v>16</v>
      </c>
      <c r="AD45" s="17">
        <v>26</v>
      </c>
      <c r="AE45" s="42">
        <v>0</v>
      </c>
      <c r="AF45" s="7">
        <v>0</v>
      </c>
      <c r="AG45" s="7">
        <v>0.48</v>
      </c>
      <c r="AH45" s="7">
        <v>0.18</v>
      </c>
      <c r="AI45" s="48">
        <v>0.25</v>
      </c>
      <c r="AJ45" s="13">
        <v>0.1</v>
      </c>
      <c r="AK45" s="120">
        <v>1.52</v>
      </c>
      <c r="AL45" s="13" t="s">
        <v>225</v>
      </c>
      <c r="AM45" s="1" t="s">
        <v>210</v>
      </c>
      <c r="AN45" s="1" t="s">
        <v>225</v>
      </c>
      <c r="AO45" s="1" t="s">
        <v>210</v>
      </c>
      <c r="AP45" s="17" t="s">
        <v>210</v>
      </c>
      <c r="AQ45" s="17"/>
      <c r="AR45" s="17"/>
      <c r="AS45" s="120"/>
      <c r="AT45" s="120"/>
      <c r="AY45" s="1"/>
    </row>
    <row r="46" spans="1:51">
      <c r="A46" s="1" t="s">
        <v>108</v>
      </c>
      <c r="B46" s="80">
        <v>40756</v>
      </c>
      <c r="C46" s="16" t="s">
        <v>220</v>
      </c>
      <c r="D46" s="106">
        <v>0.1</v>
      </c>
      <c r="E46" s="10">
        <v>7.0000000000000007E-2</v>
      </c>
      <c r="F46" s="1" t="s">
        <v>201</v>
      </c>
      <c r="G46" s="120">
        <v>100</v>
      </c>
      <c r="H46" s="106">
        <v>0.2</v>
      </c>
      <c r="I46" s="10">
        <v>0.23</v>
      </c>
      <c r="J46" s="1" t="s">
        <v>201</v>
      </c>
      <c r="K46" s="17">
        <v>100</v>
      </c>
      <c r="L46" s="106">
        <v>0.3</v>
      </c>
      <c r="M46" s="10">
        <v>0.4</v>
      </c>
      <c r="N46" s="1" t="s">
        <v>201</v>
      </c>
      <c r="O46" s="17">
        <v>100</v>
      </c>
      <c r="P46" s="42">
        <v>0.4</v>
      </c>
      <c r="Q46" s="7">
        <v>0.17</v>
      </c>
      <c r="R46" s="1" t="s">
        <v>201</v>
      </c>
      <c r="S46" s="15">
        <v>100</v>
      </c>
      <c r="T46" s="42">
        <v>0.5</v>
      </c>
      <c r="U46" s="7">
        <v>0.03</v>
      </c>
      <c r="V46" s="7" t="s">
        <v>201</v>
      </c>
      <c r="W46" s="126">
        <v>100</v>
      </c>
      <c r="X46" s="13">
        <v>0</v>
      </c>
      <c r="Y46" s="1">
        <v>0</v>
      </c>
      <c r="Z46" s="17">
        <v>2</v>
      </c>
      <c r="AA46" s="13">
        <v>0</v>
      </c>
      <c r="AB46" s="1">
        <v>96</v>
      </c>
      <c r="AC46" s="1">
        <v>96</v>
      </c>
      <c r="AD46" s="17">
        <v>56</v>
      </c>
      <c r="AE46" s="42">
        <v>0</v>
      </c>
      <c r="AF46" s="7">
        <v>0</v>
      </c>
      <c r="AG46" s="7">
        <v>0.59</v>
      </c>
      <c r="AH46" s="7">
        <v>0.4</v>
      </c>
      <c r="AI46" s="48">
        <v>0.06</v>
      </c>
      <c r="AJ46" s="13">
        <v>0.17</v>
      </c>
      <c r="AK46" s="120">
        <v>1.75</v>
      </c>
      <c r="AL46" s="13" t="s">
        <v>201</v>
      </c>
      <c r="AM46" s="1" t="s">
        <v>201</v>
      </c>
      <c r="AN46" s="1" t="s">
        <v>201</v>
      </c>
      <c r="AO46" s="1" t="s">
        <v>201</v>
      </c>
      <c r="AP46" s="17" t="s">
        <v>201</v>
      </c>
      <c r="AQ46" s="17"/>
      <c r="AR46" s="17"/>
      <c r="AS46" s="120"/>
      <c r="AT46" s="120"/>
      <c r="AY46" s="1"/>
    </row>
    <row r="47" spans="1:51">
      <c r="A47" s="1" t="s">
        <v>108</v>
      </c>
      <c r="B47" s="80">
        <v>40756</v>
      </c>
      <c r="C47" s="16" t="s">
        <v>219</v>
      </c>
      <c r="D47" s="106">
        <v>0.2</v>
      </c>
      <c r="E47" s="10" t="s">
        <v>204</v>
      </c>
      <c r="F47" s="1" t="s">
        <v>201</v>
      </c>
      <c r="G47" s="120">
        <v>100</v>
      </c>
      <c r="H47" s="106">
        <v>0.4</v>
      </c>
      <c r="I47" s="10">
        <v>0.23</v>
      </c>
      <c r="J47" s="1" t="s">
        <v>201</v>
      </c>
      <c r="K47" s="17">
        <v>100</v>
      </c>
      <c r="L47" s="106">
        <v>0.5</v>
      </c>
      <c r="M47" s="10">
        <v>0.3</v>
      </c>
      <c r="N47" s="1" t="s">
        <v>201</v>
      </c>
      <c r="O47" s="17">
        <v>100</v>
      </c>
      <c r="P47" s="42">
        <v>0.7</v>
      </c>
      <c r="Q47" s="7">
        <v>0.22</v>
      </c>
      <c r="R47" s="1" t="s">
        <v>201</v>
      </c>
      <c r="S47" s="15">
        <v>100</v>
      </c>
      <c r="T47" s="42">
        <v>0.9</v>
      </c>
      <c r="U47" s="7">
        <v>0.23</v>
      </c>
      <c r="V47" s="7" t="s">
        <v>201</v>
      </c>
      <c r="W47" s="126">
        <v>100</v>
      </c>
      <c r="X47" s="13">
        <v>0</v>
      </c>
      <c r="Y47" s="1">
        <v>0</v>
      </c>
      <c r="Z47" s="17">
        <v>2</v>
      </c>
      <c r="AA47" s="13">
        <v>80</v>
      </c>
      <c r="AB47" s="1">
        <v>10</v>
      </c>
      <c r="AC47" s="1">
        <v>78</v>
      </c>
      <c r="AD47" s="17">
        <v>96</v>
      </c>
      <c r="AE47" s="42">
        <v>0.23</v>
      </c>
      <c r="AF47" s="7">
        <v>0.34</v>
      </c>
      <c r="AG47" s="7">
        <v>1.1200000000000001</v>
      </c>
      <c r="AH47" s="7">
        <v>0.3</v>
      </c>
      <c r="AI47" s="48">
        <v>7.0000000000000007E-2</v>
      </c>
      <c r="AJ47" s="13">
        <v>0.1</v>
      </c>
      <c r="AK47" s="120">
        <v>0.54</v>
      </c>
      <c r="AL47" s="13" t="s">
        <v>201</v>
      </c>
      <c r="AM47" s="1" t="s">
        <v>201</v>
      </c>
      <c r="AN47" s="1" t="s">
        <v>201</v>
      </c>
      <c r="AO47" s="1" t="s">
        <v>201</v>
      </c>
      <c r="AP47" s="17" t="s">
        <v>201</v>
      </c>
      <c r="AQ47" s="17" t="s">
        <v>244</v>
      </c>
      <c r="AR47" s="17">
        <v>25</v>
      </c>
      <c r="AS47" s="120" t="s">
        <v>251</v>
      </c>
      <c r="AT47" s="120"/>
      <c r="AY47" s="1" t="s">
        <v>252</v>
      </c>
    </row>
    <row r="48" spans="1:51">
      <c r="A48" s="1" t="s">
        <v>108</v>
      </c>
      <c r="B48" s="80">
        <v>40756</v>
      </c>
      <c r="C48" s="16" t="s">
        <v>208</v>
      </c>
      <c r="D48" s="106">
        <v>0.2</v>
      </c>
      <c r="E48" s="10">
        <v>0.1</v>
      </c>
      <c r="F48" s="1" t="s">
        <v>201</v>
      </c>
      <c r="G48" s="120">
        <v>100</v>
      </c>
      <c r="H48" s="106">
        <v>0.5</v>
      </c>
      <c r="I48" s="10">
        <v>0.18</v>
      </c>
      <c r="J48" s="1" t="s">
        <v>201</v>
      </c>
      <c r="K48" s="17">
        <v>100</v>
      </c>
      <c r="L48" s="106">
        <v>0.7</v>
      </c>
      <c r="M48" s="10">
        <v>0.27</v>
      </c>
      <c r="N48" s="1" t="s">
        <v>201</v>
      </c>
      <c r="O48" s="17">
        <v>100</v>
      </c>
      <c r="P48" s="42">
        <v>0.9</v>
      </c>
      <c r="Q48" s="7">
        <v>0.31</v>
      </c>
      <c r="R48" s="1" t="s">
        <v>201</v>
      </c>
      <c r="S48" s="15">
        <v>100</v>
      </c>
      <c r="T48" s="42">
        <v>1.2</v>
      </c>
      <c r="U48" s="7">
        <v>0.27</v>
      </c>
      <c r="V48" s="7" t="s">
        <v>201</v>
      </c>
      <c r="W48" s="126">
        <v>100</v>
      </c>
      <c r="X48" s="13">
        <v>0</v>
      </c>
      <c r="Y48" s="1">
        <v>0</v>
      </c>
      <c r="Z48" s="17">
        <v>2</v>
      </c>
      <c r="AA48" s="13">
        <v>25</v>
      </c>
      <c r="AB48" s="1">
        <v>96</v>
      </c>
      <c r="AC48" s="1">
        <v>72</v>
      </c>
      <c r="AD48" s="17">
        <v>8</v>
      </c>
      <c r="AE48" s="42">
        <v>0.46</v>
      </c>
      <c r="AF48" s="7">
        <v>0.22</v>
      </c>
      <c r="AG48" s="7">
        <v>1.38</v>
      </c>
      <c r="AH48" s="7">
        <v>0.26</v>
      </c>
      <c r="AI48" s="48">
        <v>0.08</v>
      </c>
      <c r="AJ48" s="13">
        <v>0.18</v>
      </c>
      <c r="AK48" s="120">
        <v>1.1000000000000001</v>
      </c>
      <c r="AL48" s="13" t="s">
        <v>202</v>
      </c>
      <c r="AM48" s="1" t="s">
        <v>201</v>
      </c>
      <c r="AN48" s="1" t="s">
        <v>201</v>
      </c>
      <c r="AO48" s="1" t="s">
        <v>201</v>
      </c>
      <c r="AP48" s="17" t="s">
        <v>201</v>
      </c>
      <c r="AQ48" s="17" t="s">
        <v>218</v>
      </c>
      <c r="AR48" s="17">
        <v>25</v>
      </c>
      <c r="AS48" s="120" t="s">
        <v>251</v>
      </c>
      <c r="AT48" s="120"/>
      <c r="AY48" s="1"/>
    </row>
    <row r="49" spans="1:51">
      <c r="A49" s="1" t="s">
        <v>108</v>
      </c>
      <c r="B49" s="80">
        <v>40756</v>
      </c>
      <c r="C49" s="16" t="s">
        <v>217</v>
      </c>
      <c r="D49" s="106">
        <v>0.3</v>
      </c>
      <c r="E49" s="10">
        <v>0.32</v>
      </c>
      <c r="F49" s="1" t="s">
        <v>201</v>
      </c>
      <c r="G49" s="120">
        <v>100</v>
      </c>
      <c r="H49" s="106">
        <v>0.6</v>
      </c>
      <c r="I49" s="10">
        <v>0.35</v>
      </c>
      <c r="J49" s="1" t="s">
        <v>201</v>
      </c>
      <c r="K49" s="17">
        <v>100</v>
      </c>
      <c r="L49" s="106">
        <v>0.75</v>
      </c>
      <c r="M49" s="10">
        <v>0.36</v>
      </c>
      <c r="N49" s="1" t="s">
        <v>201</v>
      </c>
      <c r="O49" s="17">
        <v>100</v>
      </c>
      <c r="P49" s="42">
        <v>0.9</v>
      </c>
      <c r="Q49" s="7">
        <v>0.25</v>
      </c>
      <c r="R49" s="1" t="s">
        <v>201</v>
      </c>
      <c r="S49" s="15">
        <v>100</v>
      </c>
      <c r="T49" s="42">
        <v>1.2</v>
      </c>
      <c r="U49" s="7">
        <v>0.23</v>
      </c>
      <c r="V49" s="7" t="s">
        <v>201</v>
      </c>
      <c r="W49" s="126">
        <v>100</v>
      </c>
      <c r="X49" s="13">
        <v>0</v>
      </c>
      <c r="Y49" s="1">
        <v>0</v>
      </c>
      <c r="Z49" s="17">
        <v>2</v>
      </c>
      <c r="AA49" s="13">
        <v>69</v>
      </c>
      <c r="AB49" s="1">
        <v>22</v>
      </c>
      <c r="AC49" s="1">
        <v>96</v>
      </c>
      <c r="AD49" s="17">
        <v>43</v>
      </c>
      <c r="AE49" s="42">
        <v>0.36</v>
      </c>
      <c r="AF49" s="7">
        <v>0.14000000000000001</v>
      </c>
      <c r="AG49" s="7">
        <v>1.42</v>
      </c>
      <c r="AH49" s="7">
        <v>0.35</v>
      </c>
      <c r="AI49" s="48">
        <v>0.62</v>
      </c>
      <c r="AJ49" s="13">
        <v>0.15</v>
      </c>
      <c r="AK49" s="120">
        <v>1.24</v>
      </c>
      <c r="AL49" s="13" t="s">
        <v>201</v>
      </c>
      <c r="AM49" s="1" t="s">
        <v>201</v>
      </c>
      <c r="AN49" s="1" t="s">
        <v>201</v>
      </c>
      <c r="AO49" s="1" t="s">
        <v>201</v>
      </c>
      <c r="AP49" s="17" t="s">
        <v>201</v>
      </c>
      <c r="AQ49" s="17" t="s">
        <v>242</v>
      </c>
      <c r="AR49" s="17">
        <v>25</v>
      </c>
      <c r="AS49" s="120">
        <v>1.5</v>
      </c>
      <c r="AT49" s="120">
        <v>0.41</v>
      </c>
      <c r="AY49" s="1"/>
    </row>
    <row r="50" spans="1:51">
      <c r="A50" s="1" t="s">
        <v>108</v>
      </c>
      <c r="B50" s="80">
        <v>40756</v>
      </c>
      <c r="C50" s="16" t="s">
        <v>203</v>
      </c>
      <c r="D50" s="106">
        <v>0.2</v>
      </c>
      <c r="E50" s="10">
        <v>0.09</v>
      </c>
      <c r="F50" s="1" t="s">
        <v>201</v>
      </c>
      <c r="G50" s="120">
        <v>100</v>
      </c>
      <c r="H50" s="106">
        <v>0.4</v>
      </c>
      <c r="I50" s="10">
        <v>0.28000000000000003</v>
      </c>
      <c r="J50" s="1" t="s">
        <v>201</v>
      </c>
      <c r="K50" s="17">
        <v>100</v>
      </c>
      <c r="L50" s="106">
        <v>0.6</v>
      </c>
      <c r="M50" s="10">
        <v>0.19</v>
      </c>
      <c r="N50" s="1" t="s">
        <v>201</v>
      </c>
      <c r="O50" s="17">
        <v>100</v>
      </c>
      <c r="P50" s="42">
        <v>0.8</v>
      </c>
      <c r="Q50" s="7">
        <v>0.18</v>
      </c>
      <c r="R50" s="1" t="s">
        <v>201</v>
      </c>
      <c r="S50" s="15">
        <v>100</v>
      </c>
      <c r="T50" s="42">
        <v>1</v>
      </c>
      <c r="U50" s="7">
        <v>0.14000000000000001</v>
      </c>
      <c r="V50" s="7" t="s">
        <v>201</v>
      </c>
      <c r="W50" s="126">
        <v>100</v>
      </c>
      <c r="X50" s="13">
        <v>0</v>
      </c>
      <c r="Y50" s="1">
        <v>1</v>
      </c>
      <c r="Z50" s="17">
        <v>1</v>
      </c>
      <c r="AA50" s="13">
        <v>63</v>
      </c>
      <c r="AB50" s="1">
        <v>52</v>
      </c>
      <c r="AC50" s="1">
        <v>6</v>
      </c>
      <c r="AD50" s="17">
        <v>60</v>
      </c>
      <c r="AE50" s="42">
        <v>0.19</v>
      </c>
      <c r="AF50" s="7">
        <v>0</v>
      </c>
      <c r="AG50" s="7">
        <v>1.21</v>
      </c>
      <c r="AH50" s="7">
        <v>0.16</v>
      </c>
      <c r="AI50" s="48">
        <v>0.08</v>
      </c>
      <c r="AJ50" s="13">
        <v>0.24</v>
      </c>
      <c r="AK50" s="120">
        <v>4.43</v>
      </c>
      <c r="AL50" s="13" t="s">
        <v>201</v>
      </c>
      <c r="AM50" s="1" t="s">
        <v>201</v>
      </c>
      <c r="AN50" s="1" t="s">
        <v>201</v>
      </c>
      <c r="AO50" s="1" t="s">
        <v>201</v>
      </c>
      <c r="AP50" s="17" t="s">
        <v>201</v>
      </c>
      <c r="AQ50" s="17"/>
      <c r="AR50" s="17"/>
      <c r="AS50" s="120"/>
      <c r="AT50" s="120"/>
      <c r="AY50" s="1"/>
    </row>
    <row r="51" spans="1:51">
      <c r="A51" s="1" t="s">
        <v>108</v>
      </c>
      <c r="B51" s="80">
        <v>40756</v>
      </c>
      <c r="C51" s="16" t="s">
        <v>200</v>
      </c>
      <c r="D51" s="106">
        <v>0.1</v>
      </c>
      <c r="E51" s="10">
        <v>0.04</v>
      </c>
      <c r="F51" s="1" t="s">
        <v>207</v>
      </c>
      <c r="G51" s="120">
        <v>90</v>
      </c>
      <c r="H51" s="106">
        <v>0.3</v>
      </c>
      <c r="I51" s="10">
        <v>0.11</v>
      </c>
      <c r="J51" s="1" t="s">
        <v>201</v>
      </c>
      <c r="K51" s="17">
        <v>100</v>
      </c>
      <c r="L51" s="106">
        <v>0.5</v>
      </c>
      <c r="M51" s="10">
        <v>0.13</v>
      </c>
      <c r="N51" s="1" t="s">
        <v>201</v>
      </c>
      <c r="O51" s="17">
        <v>100</v>
      </c>
      <c r="P51" s="42">
        <v>0.7</v>
      </c>
      <c r="Q51" s="7">
        <v>0.19</v>
      </c>
      <c r="R51" s="1" t="s">
        <v>201</v>
      </c>
      <c r="S51" s="15">
        <v>100</v>
      </c>
      <c r="T51" s="42">
        <v>0.9</v>
      </c>
      <c r="U51" s="7" t="s">
        <v>204</v>
      </c>
      <c r="V51" s="7" t="s">
        <v>201</v>
      </c>
      <c r="W51" s="126">
        <v>100</v>
      </c>
      <c r="X51" s="13">
        <v>0</v>
      </c>
      <c r="Y51" s="1">
        <v>0</v>
      </c>
      <c r="Z51" s="17">
        <v>3</v>
      </c>
      <c r="AA51" s="13">
        <v>96</v>
      </c>
      <c r="AB51" s="1">
        <v>96</v>
      </c>
      <c r="AC51" s="1">
        <v>96</v>
      </c>
      <c r="AD51" s="17">
        <v>52</v>
      </c>
      <c r="AE51" s="42">
        <v>0.11</v>
      </c>
      <c r="AF51" s="7">
        <v>0.5</v>
      </c>
      <c r="AG51" s="7">
        <v>1.1100000000000001</v>
      </c>
      <c r="AH51" s="7">
        <v>0.1</v>
      </c>
      <c r="AI51" s="48">
        <v>0.13</v>
      </c>
      <c r="AJ51" s="13">
        <v>0.17</v>
      </c>
      <c r="AK51" s="120">
        <v>1.5</v>
      </c>
      <c r="AL51" s="13" t="s">
        <v>201</v>
      </c>
      <c r="AM51" s="1" t="s">
        <v>201</v>
      </c>
      <c r="AN51" s="1" t="s">
        <v>201</v>
      </c>
      <c r="AO51" s="1" t="s">
        <v>201</v>
      </c>
      <c r="AP51" s="17" t="s">
        <v>201</v>
      </c>
      <c r="AQ51" s="17"/>
      <c r="AR51" s="17"/>
      <c r="AS51" s="120"/>
      <c r="AT51" s="120"/>
      <c r="AY51" s="1"/>
    </row>
    <row r="52" spans="1:51">
      <c r="A52" s="1" t="s">
        <v>108</v>
      </c>
      <c r="B52" s="80">
        <v>40756</v>
      </c>
      <c r="C52" s="16" t="s">
        <v>198</v>
      </c>
      <c r="D52" s="106">
        <v>0.2</v>
      </c>
      <c r="E52" s="10">
        <v>0.09</v>
      </c>
      <c r="F52" s="1" t="s">
        <v>201</v>
      </c>
      <c r="G52" s="120">
        <v>100</v>
      </c>
      <c r="H52" s="106">
        <v>0.4</v>
      </c>
      <c r="I52" s="10">
        <v>0.15</v>
      </c>
      <c r="J52" s="1" t="s">
        <v>201</v>
      </c>
      <c r="K52" s="17">
        <v>100</v>
      </c>
      <c r="L52" s="106">
        <v>0.6</v>
      </c>
      <c r="M52" s="10">
        <v>0.18</v>
      </c>
      <c r="N52" s="1" t="s">
        <v>201</v>
      </c>
      <c r="O52" s="17">
        <v>100</v>
      </c>
      <c r="P52" s="42">
        <v>0.8</v>
      </c>
      <c r="Q52" s="7">
        <v>0.17</v>
      </c>
      <c r="R52" s="1" t="s">
        <v>199</v>
      </c>
      <c r="S52" s="15">
        <v>100</v>
      </c>
      <c r="T52" s="42">
        <v>1</v>
      </c>
      <c r="U52" s="7">
        <v>0.1</v>
      </c>
      <c r="V52" s="7" t="s">
        <v>199</v>
      </c>
      <c r="W52" s="126">
        <v>100</v>
      </c>
      <c r="X52" s="13">
        <v>0</v>
      </c>
      <c r="Y52" s="1">
        <v>0</v>
      </c>
      <c r="Z52" s="17">
        <v>2</v>
      </c>
      <c r="AA52" s="13">
        <v>0</v>
      </c>
      <c r="AB52" s="1">
        <v>72</v>
      </c>
      <c r="AC52" s="1">
        <v>8</v>
      </c>
      <c r="AD52" s="17">
        <v>76</v>
      </c>
      <c r="AE52" s="42">
        <v>0</v>
      </c>
      <c r="AF52" s="7">
        <v>0.26</v>
      </c>
      <c r="AG52" s="7">
        <v>1.2</v>
      </c>
      <c r="AH52" s="7">
        <v>0.15</v>
      </c>
      <c r="AI52" s="48">
        <v>0.1</v>
      </c>
      <c r="AP52" s="17"/>
      <c r="AQ52" s="17"/>
      <c r="AR52" s="17"/>
      <c r="AS52" s="120"/>
      <c r="AT52" s="120"/>
      <c r="AY52" s="1"/>
    </row>
    <row r="53" spans="1:51">
      <c r="A53" s="1" t="s">
        <v>88</v>
      </c>
      <c r="B53" s="80">
        <v>40752</v>
      </c>
      <c r="C53" s="16" t="s">
        <v>220</v>
      </c>
      <c r="D53" s="106">
        <v>0.2</v>
      </c>
      <c r="E53" s="10">
        <v>0.13</v>
      </c>
      <c r="F53" s="1" t="s">
        <v>199</v>
      </c>
      <c r="G53" s="120">
        <v>100</v>
      </c>
      <c r="H53" s="106">
        <v>0.6</v>
      </c>
      <c r="I53" s="10">
        <v>0.17</v>
      </c>
      <c r="J53" s="1" t="s">
        <v>199</v>
      </c>
      <c r="K53" s="17">
        <v>100</v>
      </c>
      <c r="L53" s="106">
        <v>1</v>
      </c>
      <c r="M53" s="10">
        <v>0.17</v>
      </c>
      <c r="N53" s="1" t="s">
        <v>207</v>
      </c>
      <c r="O53" s="17">
        <v>0</v>
      </c>
      <c r="P53" s="42">
        <v>1.4</v>
      </c>
      <c r="Q53" s="7">
        <v>0.14000000000000001</v>
      </c>
      <c r="R53" s="1" t="s">
        <v>199</v>
      </c>
      <c r="S53" s="15">
        <v>100</v>
      </c>
      <c r="T53" s="42">
        <v>1.8</v>
      </c>
      <c r="U53" s="7">
        <v>6</v>
      </c>
      <c r="V53" s="7" t="s">
        <v>199</v>
      </c>
      <c r="W53" s="126">
        <v>100</v>
      </c>
      <c r="X53" s="13">
        <v>0</v>
      </c>
      <c r="Y53" s="1">
        <v>1</v>
      </c>
      <c r="Z53" s="17">
        <v>2</v>
      </c>
      <c r="AA53" s="13">
        <v>96</v>
      </c>
      <c r="AB53" s="1">
        <v>96</v>
      </c>
      <c r="AC53" s="1">
        <v>96</v>
      </c>
      <c r="AD53" s="17">
        <v>96</v>
      </c>
      <c r="AE53" s="42">
        <v>0.2</v>
      </c>
      <c r="AF53" s="7">
        <v>0</v>
      </c>
      <c r="AG53" s="7">
        <v>1.98</v>
      </c>
      <c r="AH53" s="7">
        <v>0.16</v>
      </c>
      <c r="AI53" s="48">
        <v>0.23</v>
      </c>
      <c r="AJ53" s="13">
        <v>0.1</v>
      </c>
      <c r="AK53" s="120">
        <v>3</v>
      </c>
      <c r="AL53" s="13" t="s">
        <v>225</v>
      </c>
      <c r="AM53" s="1" t="s">
        <v>228</v>
      </c>
      <c r="AN53" s="1" t="s">
        <v>225</v>
      </c>
      <c r="AO53" s="1" t="s">
        <v>228</v>
      </c>
      <c r="AP53" s="17" t="s">
        <v>210</v>
      </c>
      <c r="AQ53" s="17"/>
      <c r="AR53" s="17"/>
      <c r="AS53" s="120"/>
      <c r="AT53" s="120"/>
      <c r="AY53" s="1"/>
    </row>
    <row r="54" spans="1:51">
      <c r="A54" s="1" t="s">
        <v>88</v>
      </c>
      <c r="B54" s="80">
        <v>40752</v>
      </c>
      <c r="C54" s="16" t="s">
        <v>219</v>
      </c>
      <c r="D54" s="106">
        <v>0.5</v>
      </c>
      <c r="E54" s="10">
        <v>0.19</v>
      </c>
      <c r="F54" s="1" t="s">
        <v>199</v>
      </c>
      <c r="G54" s="120">
        <v>100</v>
      </c>
      <c r="H54" s="106">
        <v>1</v>
      </c>
      <c r="I54" s="10">
        <v>0.28999999999999998</v>
      </c>
      <c r="J54" s="1" t="s">
        <v>199</v>
      </c>
      <c r="K54" s="17">
        <v>100</v>
      </c>
      <c r="L54" s="106">
        <v>1.2</v>
      </c>
      <c r="M54" s="10">
        <v>0.21</v>
      </c>
      <c r="N54" s="1" t="s">
        <v>199</v>
      </c>
      <c r="O54" s="17">
        <v>100</v>
      </c>
      <c r="P54" s="42">
        <v>1.4</v>
      </c>
      <c r="Q54" s="7">
        <v>0.27</v>
      </c>
      <c r="R54" s="1" t="s">
        <v>199</v>
      </c>
      <c r="S54" s="15">
        <v>100</v>
      </c>
      <c r="T54" s="42">
        <v>1.9</v>
      </c>
      <c r="U54" s="7">
        <v>0.13</v>
      </c>
      <c r="V54" s="7" t="s">
        <v>199</v>
      </c>
      <c r="W54" s="126">
        <v>100</v>
      </c>
      <c r="X54" s="13">
        <v>0</v>
      </c>
      <c r="Y54" s="1">
        <v>1</v>
      </c>
      <c r="Z54" s="17">
        <v>3</v>
      </c>
      <c r="AA54" s="13">
        <v>96</v>
      </c>
      <c r="AB54" s="1">
        <v>46</v>
      </c>
      <c r="AC54" s="1">
        <v>56</v>
      </c>
      <c r="AD54" s="17">
        <v>96</v>
      </c>
      <c r="AE54" s="42">
        <v>0</v>
      </c>
      <c r="AF54" s="7">
        <v>0</v>
      </c>
      <c r="AG54" s="7">
        <v>2.4</v>
      </c>
      <c r="AH54" s="7">
        <v>0.22</v>
      </c>
      <c r="AI54" s="48">
        <v>0.21</v>
      </c>
      <c r="AJ54" s="13">
        <v>0.17</v>
      </c>
      <c r="AK54" s="120">
        <v>1.64</v>
      </c>
      <c r="AL54" s="13" t="s">
        <v>207</v>
      </c>
      <c r="AM54" s="1" t="s">
        <v>207</v>
      </c>
      <c r="AN54" s="1" t="s">
        <v>202</v>
      </c>
      <c r="AO54" s="1" t="s">
        <v>202</v>
      </c>
      <c r="AP54" s="17" t="s">
        <v>199</v>
      </c>
      <c r="AQ54" s="17"/>
      <c r="AR54" s="17"/>
      <c r="AS54" s="120"/>
      <c r="AT54" s="120"/>
      <c r="AY54" s="1"/>
    </row>
    <row r="55" spans="1:51">
      <c r="A55" s="1" t="s">
        <v>88</v>
      </c>
      <c r="B55" s="80">
        <v>40752</v>
      </c>
      <c r="C55" s="16" t="s">
        <v>208</v>
      </c>
      <c r="D55" s="106">
        <v>0.2</v>
      </c>
      <c r="E55" s="10">
        <v>0.39</v>
      </c>
      <c r="F55" s="1" t="s">
        <v>199</v>
      </c>
      <c r="G55" s="120">
        <v>100</v>
      </c>
      <c r="H55" s="106">
        <v>0.6</v>
      </c>
      <c r="I55" s="10">
        <v>0.26</v>
      </c>
      <c r="J55" s="1" t="s">
        <v>199</v>
      </c>
      <c r="K55" s="17">
        <v>100</v>
      </c>
      <c r="L55" s="106">
        <v>0.9</v>
      </c>
      <c r="M55" s="10">
        <v>0.25</v>
      </c>
      <c r="N55" s="1" t="s">
        <v>199</v>
      </c>
      <c r="O55" s="17">
        <v>100</v>
      </c>
      <c r="P55" s="42">
        <v>1.2</v>
      </c>
      <c r="Q55" s="7">
        <v>0.17</v>
      </c>
      <c r="R55" s="1" t="s">
        <v>199</v>
      </c>
      <c r="S55" s="15">
        <v>100</v>
      </c>
      <c r="T55" s="42">
        <v>1.6</v>
      </c>
      <c r="U55" s="7">
        <v>7.0000000000000007E-2</v>
      </c>
      <c r="V55" s="7" t="s">
        <v>199</v>
      </c>
      <c r="W55" s="126">
        <v>100</v>
      </c>
      <c r="X55" s="13">
        <v>0</v>
      </c>
      <c r="Y55" s="1">
        <v>2</v>
      </c>
      <c r="Z55" s="17">
        <v>4</v>
      </c>
      <c r="AA55" s="13">
        <v>92</v>
      </c>
      <c r="AB55" s="1">
        <v>96</v>
      </c>
      <c r="AC55" s="1">
        <v>72</v>
      </c>
      <c r="AD55" s="17">
        <v>96</v>
      </c>
      <c r="AE55" s="42">
        <v>0</v>
      </c>
      <c r="AF55" s="7">
        <v>0</v>
      </c>
      <c r="AG55" s="7">
        <v>1.76</v>
      </c>
      <c r="AH55" s="7">
        <v>0.36</v>
      </c>
      <c r="AI55" s="48">
        <v>0.22</v>
      </c>
      <c r="AJ55" s="13">
        <v>0.24</v>
      </c>
      <c r="AK55" s="120">
        <v>1.17</v>
      </c>
      <c r="AL55" s="13" t="s">
        <v>207</v>
      </c>
      <c r="AM55" s="1" t="s">
        <v>210</v>
      </c>
      <c r="AN55" s="1" t="s">
        <v>210</v>
      </c>
      <c r="AO55" s="1" t="s">
        <v>210</v>
      </c>
      <c r="AP55" s="17" t="s">
        <v>225</v>
      </c>
      <c r="AQ55" s="17"/>
      <c r="AR55" s="17"/>
      <c r="AS55" s="120"/>
      <c r="AT55" s="120"/>
      <c r="AY55" s="1"/>
    </row>
    <row r="56" spans="1:51">
      <c r="A56" s="1" t="s">
        <v>88</v>
      </c>
      <c r="B56" s="80">
        <v>40752</v>
      </c>
      <c r="C56" s="16" t="s">
        <v>217</v>
      </c>
      <c r="D56" s="106">
        <v>0.2</v>
      </c>
      <c r="E56" s="10">
        <v>0.14000000000000001</v>
      </c>
      <c r="F56" s="1" t="s">
        <v>199</v>
      </c>
      <c r="G56" s="120">
        <v>100</v>
      </c>
      <c r="H56" s="106">
        <v>0.6</v>
      </c>
      <c r="I56" s="10">
        <v>0.23</v>
      </c>
      <c r="J56" s="1" t="s">
        <v>210</v>
      </c>
      <c r="K56" s="17">
        <v>0</v>
      </c>
      <c r="L56" s="106">
        <v>1</v>
      </c>
      <c r="M56" s="10">
        <v>0.21</v>
      </c>
      <c r="N56" s="1" t="s">
        <v>207</v>
      </c>
      <c r="O56" s="17">
        <v>0</v>
      </c>
      <c r="P56" s="42">
        <v>1.4</v>
      </c>
      <c r="Q56" s="7">
        <v>0.14000000000000001</v>
      </c>
      <c r="R56" s="1" t="s">
        <v>202</v>
      </c>
      <c r="S56" s="15">
        <v>0</v>
      </c>
      <c r="T56" s="42">
        <v>1.8</v>
      </c>
      <c r="U56" s="7">
        <v>0.04</v>
      </c>
      <c r="V56" s="7" t="s">
        <v>199</v>
      </c>
      <c r="W56" s="126">
        <v>100</v>
      </c>
      <c r="X56" s="13">
        <v>0</v>
      </c>
      <c r="Y56" s="1">
        <v>2</v>
      </c>
      <c r="Z56" s="17">
        <v>3</v>
      </c>
      <c r="AA56" s="13">
        <v>96</v>
      </c>
      <c r="AB56" s="1">
        <v>96</v>
      </c>
      <c r="AC56" s="1">
        <v>96</v>
      </c>
      <c r="AD56" s="17">
        <v>68</v>
      </c>
      <c r="AE56" s="42">
        <v>0</v>
      </c>
      <c r="AF56" s="7">
        <v>0</v>
      </c>
      <c r="AG56" s="7">
        <v>1.89</v>
      </c>
      <c r="AH56" s="7">
        <v>0.14000000000000001</v>
      </c>
      <c r="AI56" s="48">
        <v>0.89</v>
      </c>
      <c r="AJ56" s="13">
        <v>0.28999999999999998</v>
      </c>
      <c r="AK56" s="120">
        <v>2.09</v>
      </c>
      <c r="AL56" s="13" t="s">
        <v>201</v>
      </c>
      <c r="AM56" s="1" t="s">
        <v>199</v>
      </c>
      <c r="AN56" s="1" t="s">
        <v>199</v>
      </c>
      <c r="AO56" s="1" t="s">
        <v>210</v>
      </c>
      <c r="AP56" s="17" t="s">
        <v>210</v>
      </c>
      <c r="AQ56" s="17" t="s">
        <v>242</v>
      </c>
      <c r="AR56" s="17">
        <v>2</v>
      </c>
      <c r="AS56" s="120">
        <v>2.09</v>
      </c>
      <c r="AT56" s="120">
        <v>0.28999999999999998</v>
      </c>
      <c r="AU56" s="1" t="s">
        <v>242</v>
      </c>
      <c r="AV56" s="24" t="s">
        <v>235</v>
      </c>
      <c r="AW56" s="86" t="s">
        <v>241</v>
      </c>
      <c r="AX56" s="16">
        <v>1</v>
      </c>
      <c r="AY56" s="1"/>
    </row>
    <row r="57" spans="1:51">
      <c r="A57" s="1" t="s">
        <v>88</v>
      </c>
      <c r="B57" s="80">
        <v>40752</v>
      </c>
      <c r="C57" s="16" t="s">
        <v>203</v>
      </c>
      <c r="D57" s="106">
        <v>0.1</v>
      </c>
      <c r="E57" s="10" t="s">
        <v>204</v>
      </c>
      <c r="F57" s="1" t="s">
        <v>199</v>
      </c>
      <c r="G57" s="120">
        <v>100</v>
      </c>
      <c r="H57" s="106">
        <v>0.7</v>
      </c>
      <c r="I57" s="10">
        <v>0.14000000000000001</v>
      </c>
      <c r="J57" s="1" t="s">
        <v>210</v>
      </c>
      <c r="K57" s="17">
        <v>10</v>
      </c>
      <c r="L57" s="106">
        <v>1.25</v>
      </c>
      <c r="M57" s="10">
        <v>0.11</v>
      </c>
      <c r="N57" s="1" t="s">
        <v>210</v>
      </c>
      <c r="O57" s="17">
        <v>10</v>
      </c>
      <c r="P57" s="42">
        <v>1.8</v>
      </c>
      <c r="Q57" s="7">
        <v>0.11</v>
      </c>
      <c r="R57" s="1" t="s">
        <v>207</v>
      </c>
      <c r="S57" s="15">
        <v>10</v>
      </c>
      <c r="T57" s="42">
        <v>2.4</v>
      </c>
      <c r="U57" s="7">
        <v>0.19</v>
      </c>
      <c r="V57" s="7" t="s">
        <v>201</v>
      </c>
      <c r="W57" s="126">
        <v>100</v>
      </c>
      <c r="X57" s="13">
        <v>0</v>
      </c>
      <c r="Y57" s="1">
        <v>1</v>
      </c>
      <c r="Z57" s="17">
        <v>2</v>
      </c>
      <c r="AA57" s="13">
        <v>8</v>
      </c>
      <c r="AB57" s="1">
        <v>0</v>
      </c>
      <c r="AC57" s="1">
        <v>12</v>
      </c>
      <c r="AD57" s="17">
        <v>8</v>
      </c>
      <c r="AE57" s="42">
        <v>0.34</v>
      </c>
      <c r="AF57" s="7">
        <v>0</v>
      </c>
      <c r="AG57" s="7">
        <v>2.5</v>
      </c>
      <c r="AH57" s="7">
        <v>0.1</v>
      </c>
      <c r="AI57" s="48">
        <v>0.83</v>
      </c>
      <c r="AJ57" s="13">
        <v>0.14000000000000001</v>
      </c>
      <c r="AK57" s="120">
        <v>1.1399999999999999</v>
      </c>
      <c r="AL57" s="13" t="s">
        <v>210</v>
      </c>
      <c r="AM57" s="1" t="s">
        <v>210</v>
      </c>
      <c r="AN57" s="1" t="s">
        <v>210</v>
      </c>
      <c r="AO57" s="1" t="s">
        <v>210</v>
      </c>
      <c r="AP57" s="17" t="s">
        <v>210</v>
      </c>
      <c r="AQ57" s="17"/>
      <c r="AR57" s="17"/>
      <c r="AS57" s="120"/>
      <c r="AT57" s="120"/>
      <c r="AY57" s="1"/>
    </row>
    <row r="58" spans="1:51">
      <c r="A58" s="1" t="s">
        <v>88</v>
      </c>
      <c r="B58" s="80">
        <v>40752</v>
      </c>
      <c r="C58" s="16" t="s">
        <v>200</v>
      </c>
      <c r="D58" s="106">
        <v>0.4</v>
      </c>
      <c r="E58" s="10">
        <v>0.2</v>
      </c>
      <c r="F58" s="1" t="s">
        <v>199</v>
      </c>
      <c r="G58" s="120">
        <v>100</v>
      </c>
      <c r="H58" s="106">
        <v>0.8</v>
      </c>
      <c r="I58" s="10">
        <v>0.2</v>
      </c>
      <c r="J58" s="1" t="s">
        <v>225</v>
      </c>
      <c r="K58" s="17">
        <v>90</v>
      </c>
      <c r="L58" s="106">
        <v>1</v>
      </c>
      <c r="M58" s="10">
        <v>0.17</v>
      </c>
      <c r="N58" s="1" t="s">
        <v>199</v>
      </c>
      <c r="O58" s="17">
        <v>100</v>
      </c>
      <c r="P58" s="42">
        <v>1.2</v>
      </c>
      <c r="Q58" s="7">
        <v>0.16</v>
      </c>
      <c r="R58" s="1" t="s">
        <v>199</v>
      </c>
      <c r="S58" s="15">
        <v>100</v>
      </c>
      <c r="T58" s="42">
        <v>1.6</v>
      </c>
      <c r="U58" s="7">
        <v>0.14000000000000001</v>
      </c>
      <c r="V58" s="7" t="s">
        <v>199</v>
      </c>
      <c r="W58" s="126">
        <v>100</v>
      </c>
      <c r="X58" s="13">
        <v>0</v>
      </c>
      <c r="Y58" s="1">
        <v>1</v>
      </c>
      <c r="Z58" s="17">
        <v>2</v>
      </c>
      <c r="AA58" s="13">
        <v>12</v>
      </c>
      <c r="AB58" s="1">
        <v>96</v>
      </c>
      <c r="AC58" s="1">
        <v>76</v>
      </c>
      <c r="AD58" s="17">
        <v>68</v>
      </c>
      <c r="AE58" s="42">
        <v>0</v>
      </c>
      <c r="AF58" s="7">
        <v>0.44</v>
      </c>
      <c r="AG58" s="7">
        <v>1.88</v>
      </c>
      <c r="AH58" s="7">
        <v>0.18</v>
      </c>
      <c r="AI58" s="48">
        <v>0.28000000000000003</v>
      </c>
      <c r="AJ58" s="13">
        <v>0.17</v>
      </c>
      <c r="AK58" s="120">
        <v>1.92</v>
      </c>
      <c r="AL58" s="13" t="s">
        <v>225</v>
      </c>
      <c r="AM58" s="1" t="s">
        <v>225</v>
      </c>
      <c r="AN58" s="1" t="s">
        <v>208</v>
      </c>
      <c r="AO58" s="1" t="s">
        <v>225</v>
      </c>
      <c r="AP58" s="17" t="s">
        <v>225</v>
      </c>
      <c r="AQ58" s="17"/>
      <c r="AR58" s="17"/>
      <c r="AS58" s="120"/>
      <c r="AT58" s="120"/>
      <c r="AY58" s="1"/>
    </row>
    <row r="59" spans="1:51">
      <c r="A59" s="1" t="s">
        <v>88</v>
      </c>
      <c r="B59" s="80">
        <v>40752</v>
      </c>
      <c r="C59" s="16" t="s">
        <v>198</v>
      </c>
      <c r="D59" s="106">
        <v>0.2</v>
      </c>
      <c r="E59" s="10">
        <v>0.12</v>
      </c>
      <c r="F59" s="1" t="s">
        <v>225</v>
      </c>
      <c r="G59" s="120">
        <v>20</v>
      </c>
      <c r="H59" s="106">
        <v>0.4</v>
      </c>
      <c r="I59" s="10">
        <v>7.0000000000000007E-2</v>
      </c>
      <c r="J59" s="1" t="s">
        <v>225</v>
      </c>
      <c r="K59" s="17">
        <v>0</v>
      </c>
      <c r="L59" s="106">
        <v>0.6</v>
      </c>
      <c r="M59" s="10">
        <v>7.0000000000000007E-2</v>
      </c>
      <c r="N59" s="1" t="s">
        <v>225</v>
      </c>
      <c r="O59" s="17">
        <v>0</v>
      </c>
      <c r="P59" s="42">
        <v>0.8</v>
      </c>
      <c r="Q59" s="7">
        <v>0.11</v>
      </c>
      <c r="R59" s="1" t="s">
        <v>207</v>
      </c>
      <c r="S59" s="15">
        <v>0</v>
      </c>
      <c r="T59" s="42">
        <v>1</v>
      </c>
      <c r="U59" s="7">
        <v>0.09</v>
      </c>
      <c r="V59" s="7" t="s">
        <v>207</v>
      </c>
      <c r="W59" s="126">
        <v>0</v>
      </c>
      <c r="X59" s="13">
        <v>0</v>
      </c>
      <c r="Y59" s="1">
        <v>2</v>
      </c>
      <c r="Z59" s="17">
        <v>4</v>
      </c>
      <c r="AA59" s="13">
        <v>96</v>
      </c>
      <c r="AB59" s="1">
        <v>96</v>
      </c>
      <c r="AC59" s="1">
        <v>58</v>
      </c>
      <c r="AD59" s="17">
        <v>47</v>
      </c>
      <c r="AE59" s="42">
        <v>0.1</v>
      </c>
      <c r="AF59" s="7">
        <v>0.1</v>
      </c>
      <c r="AG59" s="7">
        <v>1.1399999999999999</v>
      </c>
      <c r="AH59" s="7">
        <v>0.12</v>
      </c>
      <c r="AI59" s="48">
        <v>0.77</v>
      </c>
      <c r="AP59" s="17"/>
      <c r="AQ59" s="17"/>
      <c r="AR59" s="17"/>
      <c r="AS59" s="120"/>
      <c r="AT59" s="120"/>
      <c r="AY59" s="1"/>
    </row>
    <row r="60" spans="1:51">
      <c r="A60" s="1" t="s">
        <v>88</v>
      </c>
      <c r="B60" s="80">
        <v>40752</v>
      </c>
      <c r="C60" s="16" t="s">
        <v>220</v>
      </c>
      <c r="D60" s="106">
        <v>0.1</v>
      </c>
      <c r="E60" s="10">
        <v>0.14000000000000001</v>
      </c>
      <c r="F60" s="1" t="s">
        <v>199</v>
      </c>
      <c r="G60" s="120">
        <v>100</v>
      </c>
      <c r="H60" s="106">
        <v>0.3</v>
      </c>
      <c r="I60" s="10">
        <v>0.12</v>
      </c>
      <c r="J60" s="1" t="s">
        <v>199</v>
      </c>
      <c r="K60" s="17">
        <v>100</v>
      </c>
      <c r="L60" s="106">
        <v>0.5</v>
      </c>
      <c r="M60" s="10">
        <v>0.14000000000000001</v>
      </c>
      <c r="N60" s="1" t="s">
        <v>207</v>
      </c>
      <c r="O60" s="17">
        <v>10</v>
      </c>
      <c r="P60" s="42">
        <v>0.7</v>
      </c>
      <c r="Q60" s="7">
        <v>0.11</v>
      </c>
      <c r="R60" s="1" t="s">
        <v>199</v>
      </c>
      <c r="S60" s="15">
        <v>100</v>
      </c>
      <c r="T60" s="42">
        <v>0.8</v>
      </c>
      <c r="U60" s="7">
        <v>0.1</v>
      </c>
      <c r="V60" s="7" t="s">
        <v>199</v>
      </c>
      <c r="W60" s="126">
        <v>100</v>
      </c>
      <c r="X60" s="13">
        <v>0</v>
      </c>
      <c r="Y60" s="1">
        <v>2</v>
      </c>
      <c r="Z60" s="17">
        <v>2</v>
      </c>
      <c r="AA60" s="13">
        <v>28</v>
      </c>
      <c r="AB60" s="1">
        <v>52</v>
      </c>
      <c r="AC60" s="1">
        <v>40</v>
      </c>
      <c r="AD60" s="17">
        <v>60</v>
      </c>
      <c r="AE60" s="42">
        <v>0</v>
      </c>
      <c r="AF60" s="7">
        <v>0</v>
      </c>
      <c r="AG60" s="7">
        <v>0.88</v>
      </c>
      <c r="AH60" s="7">
        <v>0.1</v>
      </c>
      <c r="AI60" s="48">
        <v>0.23</v>
      </c>
      <c r="AJ60" s="13">
        <v>0.14000000000000001</v>
      </c>
      <c r="AK60" s="120">
        <v>1</v>
      </c>
      <c r="AL60" s="13" t="s">
        <v>199</v>
      </c>
      <c r="AM60" s="1" t="s">
        <v>207</v>
      </c>
      <c r="AN60" s="1" t="s">
        <v>225</v>
      </c>
      <c r="AO60" s="1" t="s">
        <v>210</v>
      </c>
      <c r="AP60" s="17" t="s">
        <v>210</v>
      </c>
      <c r="AQ60" s="17"/>
      <c r="AR60" s="17"/>
      <c r="AS60" s="120"/>
      <c r="AT60" s="120"/>
      <c r="AY60" s="1"/>
    </row>
    <row r="61" spans="1:51">
      <c r="A61" s="1" t="s">
        <v>88</v>
      </c>
      <c r="B61" s="80">
        <v>40752</v>
      </c>
      <c r="C61" s="16" t="s">
        <v>219</v>
      </c>
      <c r="D61" s="106">
        <v>0.2</v>
      </c>
      <c r="E61" s="10">
        <v>0.11</v>
      </c>
      <c r="F61" s="1" t="s">
        <v>207</v>
      </c>
      <c r="G61" s="120">
        <v>10</v>
      </c>
      <c r="H61" s="106">
        <v>0.4</v>
      </c>
      <c r="I61" s="10">
        <v>0.14000000000000001</v>
      </c>
      <c r="J61" s="1" t="s">
        <v>207</v>
      </c>
      <c r="K61" s="17">
        <v>30</v>
      </c>
      <c r="L61" s="106">
        <v>0.5</v>
      </c>
      <c r="M61" s="10">
        <v>0.14000000000000001</v>
      </c>
      <c r="N61" s="1" t="s">
        <v>207</v>
      </c>
      <c r="O61" s="17">
        <v>30</v>
      </c>
      <c r="P61" s="42">
        <v>0.6</v>
      </c>
      <c r="Q61" s="7">
        <v>0.14000000000000001</v>
      </c>
      <c r="R61" s="1" t="s">
        <v>199</v>
      </c>
      <c r="S61" s="15">
        <v>100</v>
      </c>
      <c r="T61" s="42">
        <v>0.8</v>
      </c>
      <c r="U61" s="7">
        <v>0.08</v>
      </c>
      <c r="V61" s="7" t="s">
        <v>199</v>
      </c>
      <c r="W61" s="126">
        <v>100</v>
      </c>
      <c r="X61" s="13">
        <v>0</v>
      </c>
      <c r="Y61" s="1">
        <v>1</v>
      </c>
      <c r="Z61" s="17">
        <v>3</v>
      </c>
      <c r="AA61" s="13">
        <v>15</v>
      </c>
      <c r="AB61" s="1">
        <v>76</v>
      </c>
      <c r="AC61" s="1">
        <v>46</v>
      </c>
      <c r="AD61" s="17">
        <v>96</v>
      </c>
      <c r="AE61" s="42">
        <v>0.09</v>
      </c>
      <c r="AF61" s="7">
        <v>0.23</v>
      </c>
      <c r="AG61" s="7">
        <v>1.04</v>
      </c>
      <c r="AH61" s="7">
        <v>0.14000000000000001</v>
      </c>
      <c r="AI61" s="48">
        <v>0.34</v>
      </c>
      <c r="AJ61" s="13">
        <v>0.1</v>
      </c>
      <c r="AK61" s="120">
        <v>1.29</v>
      </c>
      <c r="AL61" s="13" t="s">
        <v>210</v>
      </c>
      <c r="AM61" s="1" t="s">
        <v>210</v>
      </c>
      <c r="AN61" s="1" t="s">
        <v>210</v>
      </c>
      <c r="AO61" s="1" t="s">
        <v>210</v>
      </c>
      <c r="AP61" s="17" t="s">
        <v>210</v>
      </c>
      <c r="AQ61" s="17"/>
      <c r="AR61" s="17"/>
      <c r="AS61" s="120"/>
      <c r="AT61" s="120"/>
      <c r="AY61" s="1"/>
    </row>
    <row r="62" spans="1:51">
      <c r="A62" s="1" t="s">
        <v>88</v>
      </c>
      <c r="B62" s="80">
        <v>40752</v>
      </c>
      <c r="C62" s="16" t="s">
        <v>208</v>
      </c>
      <c r="D62" s="106">
        <v>0.05</v>
      </c>
      <c r="E62" s="10">
        <v>0.05</v>
      </c>
      <c r="F62" s="1" t="s">
        <v>199</v>
      </c>
      <c r="G62" s="120">
        <v>100</v>
      </c>
      <c r="H62" s="106">
        <v>0.2</v>
      </c>
      <c r="I62" s="10">
        <v>0.03</v>
      </c>
      <c r="J62" s="1" t="s">
        <v>225</v>
      </c>
      <c r="K62" s="17">
        <v>40</v>
      </c>
      <c r="L62" s="106">
        <v>0.45</v>
      </c>
      <c r="M62" s="10">
        <v>0.14000000000000001</v>
      </c>
      <c r="N62" s="1" t="s">
        <v>210</v>
      </c>
      <c r="O62" s="17">
        <v>60</v>
      </c>
      <c r="P62" s="42">
        <v>0.6</v>
      </c>
      <c r="Q62" s="7">
        <v>0.05</v>
      </c>
      <c r="R62" s="1" t="s">
        <v>225</v>
      </c>
      <c r="S62" s="15">
        <v>20</v>
      </c>
      <c r="T62" s="42">
        <v>0.85</v>
      </c>
      <c r="U62" s="7">
        <v>0.05</v>
      </c>
      <c r="V62" s="7" t="s">
        <v>210</v>
      </c>
      <c r="W62" s="126">
        <v>30</v>
      </c>
      <c r="X62" s="13">
        <v>0</v>
      </c>
      <c r="Y62" s="1">
        <v>1</v>
      </c>
      <c r="Z62" s="17">
        <v>2</v>
      </c>
      <c r="AA62" s="13">
        <v>3</v>
      </c>
      <c r="AB62" s="1">
        <v>58</v>
      </c>
      <c r="AC62" s="1">
        <v>0</v>
      </c>
      <c r="AD62" s="17">
        <v>82</v>
      </c>
      <c r="AE62" s="42">
        <v>0</v>
      </c>
      <c r="AF62" s="7">
        <v>0.04</v>
      </c>
      <c r="AG62" s="7">
        <v>0.91</v>
      </c>
      <c r="AH62" s="7">
        <v>0.12</v>
      </c>
      <c r="AI62" s="48">
        <v>0.4</v>
      </c>
      <c r="AJ62" s="13">
        <v>0.22</v>
      </c>
      <c r="AK62" s="120">
        <v>1.79</v>
      </c>
      <c r="AL62" s="13" t="s">
        <v>199</v>
      </c>
      <c r="AM62" s="1" t="s">
        <v>199</v>
      </c>
      <c r="AN62" s="1" t="s">
        <v>199</v>
      </c>
      <c r="AO62" s="1" t="s">
        <v>199</v>
      </c>
      <c r="AP62" s="17" t="s">
        <v>199</v>
      </c>
      <c r="AQ62" s="17" t="s">
        <v>218</v>
      </c>
      <c r="AR62" s="17">
        <v>1.38</v>
      </c>
      <c r="AS62" s="120">
        <v>1.79</v>
      </c>
      <c r="AT62" s="120">
        <v>0.22</v>
      </c>
      <c r="AY62" s="1"/>
    </row>
    <row r="63" spans="1:51">
      <c r="A63" s="1" t="s">
        <v>88</v>
      </c>
      <c r="B63" s="80">
        <v>40752</v>
      </c>
      <c r="AQ63" s="17" t="s">
        <v>218</v>
      </c>
      <c r="AR63" s="17">
        <v>2.23</v>
      </c>
      <c r="AS63" s="120">
        <v>1.1200000000000001</v>
      </c>
      <c r="AT63" s="120">
        <v>0.37</v>
      </c>
      <c r="AY63" s="1"/>
    </row>
    <row r="64" spans="1:51">
      <c r="A64" s="1" t="s">
        <v>88</v>
      </c>
      <c r="B64" s="80">
        <v>40752</v>
      </c>
      <c r="C64" s="16" t="s">
        <v>217</v>
      </c>
      <c r="D64" s="106">
        <v>0.1</v>
      </c>
      <c r="E64" s="10" t="s">
        <v>204</v>
      </c>
      <c r="F64" s="1" t="s">
        <v>225</v>
      </c>
      <c r="G64" s="120">
        <v>10</v>
      </c>
      <c r="H64" s="106">
        <v>0.4</v>
      </c>
      <c r="I64" s="10">
        <v>0.48</v>
      </c>
      <c r="J64" s="1" t="s">
        <v>210</v>
      </c>
      <c r="K64" s="17">
        <v>70</v>
      </c>
      <c r="L64" s="106">
        <v>0.7</v>
      </c>
      <c r="M64" s="10">
        <v>0.08</v>
      </c>
      <c r="N64" s="1" t="s">
        <v>199</v>
      </c>
      <c r="O64" s="17">
        <v>100</v>
      </c>
      <c r="P64" s="42">
        <v>1</v>
      </c>
      <c r="Q64" s="7">
        <v>0.09</v>
      </c>
      <c r="R64" s="1" t="s">
        <v>199</v>
      </c>
      <c r="S64" s="15">
        <v>100</v>
      </c>
      <c r="T64" s="42">
        <v>1.3</v>
      </c>
      <c r="U64" s="7" t="s">
        <v>204</v>
      </c>
      <c r="V64" s="7" t="s">
        <v>199</v>
      </c>
      <c r="W64" s="126">
        <v>100</v>
      </c>
      <c r="X64" s="13">
        <v>0</v>
      </c>
      <c r="Y64" s="1">
        <v>0</v>
      </c>
      <c r="Z64" s="17">
        <v>4</v>
      </c>
      <c r="AA64" s="13">
        <v>70</v>
      </c>
      <c r="AB64" s="1">
        <v>24</v>
      </c>
      <c r="AC64" s="1">
        <v>40</v>
      </c>
      <c r="AD64" s="17">
        <v>52</v>
      </c>
      <c r="AE64" s="42">
        <v>0.38</v>
      </c>
      <c r="AF64" s="7">
        <v>0.14000000000000001</v>
      </c>
      <c r="AG64" s="7">
        <v>1.45</v>
      </c>
      <c r="AH64" s="7">
        <v>0.19</v>
      </c>
      <c r="AI64" s="48">
        <v>0.24</v>
      </c>
      <c r="AJ64" s="13">
        <v>0.13</v>
      </c>
      <c r="AK64" s="120">
        <v>1.18</v>
      </c>
      <c r="AL64" s="13" t="s">
        <v>225</v>
      </c>
      <c r="AM64" s="1" t="s">
        <v>210</v>
      </c>
      <c r="AN64" s="1" t="s">
        <v>225</v>
      </c>
      <c r="AO64" s="1" t="s">
        <v>199</v>
      </c>
      <c r="AP64" s="17" t="s">
        <v>225</v>
      </c>
      <c r="AQ64" s="17"/>
      <c r="AR64" s="17"/>
      <c r="AS64" s="120"/>
      <c r="AT64" s="120"/>
      <c r="AY64" s="1" t="s">
        <v>256</v>
      </c>
    </row>
    <row r="65" spans="1:51">
      <c r="A65" s="1" t="s">
        <v>88</v>
      </c>
      <c r="B65" s="80">
        <v>40752</v>
      </c>
      <c r="C65" s="16" t="s">
        <v>203</v>
      </c>
      <c r="D65" s="106">
        <v>0.1</v>
      </c>
      <c r="E65" s="10">
        <v>0</v>
      </c>
      <c r="F65" s="1" t="s">
        <v>228</v>
      </c>
      <c r="G65" s="120">
        <v>0</v>
      </c>
      <c r="H65" s="106">
        <v>0.2</v>
      </c>
      <c r="I65" s="10">
        <v>0.22</v>
      </c>
      <c r="J65" s="1" t="s">
        <v>228</v>
      </c>
      <c r="K65" s="17">
        <v>0</v>
      </c>
      <c r="L65" s="106">
        <v>0.3</v>
      </c>
      <c r="M65" s="10">
        <v>0.22</v>
      </c>
      <c r="N65" s="1" t="s">
        <v>199</v>
      </c>
      <c r="O65" s="17">
        <v>100</v>
      </c>
      <c r="P65" s="42">
        <v>0.7</v>
      </c>
      <c r="Q65" s="7" t="s">
        <v>204</v>
      </c>
      <c r="R65" s="1" t="s">
        <v>228</v>
      </c>
      <c r="S65" s="15">
        <v>10</v>
      </c>
      <c r="T65" s="42">
        <v>0.9</v>
      </c>
      <c r="U65" s="7" t="s">
        <v>204</v>
      </c>
      <c r="V65" s="7" t="s">
        <v>228</v>
      </c>
      <c r="W65" s="126">
        <v>10</v>
      </c>
      <c r="X65" s="13">
        <v>1</v>
      </c>
      <c r="Y65" s="1">
        <v>2</v>
      </c>
      <c r="Z65" s="17">
        <v>3</v>
      </c>
      <c r="AA65" s="13">
        <v>79</v>
      </c>
      <c r="AB65" s="1">
        <v>76</v>
      </c>
      <c r="AC65" s="1">
        <v>63</v>
      </c>
      <c r="AD65" s="17">
        <v>44</v>
      </c>
      <c r="AE65" s="42">
        <v>0</v>
      </c>
      <c r="AF65" s="7">
        <v>0.45</v>
      </c>
      <c r="AG65" s="7">
        <v>1</v>
      </c>
      <c r="AH65" s="7">
        <v>0.2</v>
      </c>
      <c r="AI65" s="48">
        <v>0.36299999999999999</v>
      </c>
      <c r="AJ65" s="13">
        <v>0.2</v>
      </c>
      <c r="AK65" s="120">
        <v>1.1200000000000001</v>
      </c>
      <c r="AL65" s="13" t="s">
        <v>199</v>
      </c>
      <c r="AM65" s="1" t="s">
        <v>228</v>
      </c>
      <c r="AN65" s="1" t="s">
        <v>199</v>
      </c>
      <c r="AO65" s="1" t="s">
        <v>199</v>
      </c>
      <c r="AP65" s="17" t="s">
        <v>199</v>
      </c>
      <c r="AQ65" s="17"/>
      <c r="AR65" s="17"/>
      <c r="AS65" s="120"/>
      <c r="AT65" s="120"/>
      <c r="AY65" s="1"/>
    </row>
    <row r="66" spans="1:51">
      <c r="A66" s="1" t="s">
        <v>88</v>
      </c>
      <c r="B66" s="80">
        <v>40752</v>
      </c>
      <c r="C66" s="16" t="s">
        <v>200</v>
      </c>
      <c r="D66" s="106">
        <v>0.2</v>
      </c>
      <c r="E66" s="10">
        <v>0.05</v>
      </c>
      <c r="F66" s="1" t="s">
        <v>210</v>
      </c>
      <c r="G66" s="120">
        <v>30</v>
      </c>
      <c r="H66" s="106">
        <v>0.4</v>
      </c>
      <c r="I66" s="10">
        <v>7.0000000000000007E-2</v>
      </c>
      <c r="J66" s="1" t="s">
        <v>210</v>
      </c>
      <c r="K66" s="17">
        <v>30</v>
      </c>
      <c r="L66" s="106">
        <v>0.6</v>
      </c>
      <c r="M66" s="10">
        <v>0.12</v>
      </c>
      <c r="N66" s="1" t="s">
        <v>199</v>
      </c>
      <c r="O66" s="17">
        <v>100</v>
      </c>
      <c r="P66" s="42">
        <v>0.8</v>
      </c>
      <c r="Q66" s="7">
        <v>0.12</v>
      </c>
      <c r="R66" s="1" t="s">
        <v>199</v>
      </c>
      <c r="S66" s="15">
        <v>100</v>
      </c>
      <c r="T66" s="42">
        <v>1</v>
      </c>
      <c r="U66" s="7">
        <v>7.0000000000000007E-2</v>
      </c>
      <c r="V66" s="7" t="s">
        <v>199</v>
      </c>
      <c r="W66" s="126">
        <v>100</v>
      </c>
      <c r="X66" s="13">
        <v>0</v>
      </c>
      <c r="Y66" s="1">
        <v>1</v>
      </c>
      <c r="Z66" s="17">
        <v>4</v>
      </c>
      <c r="AA66" s="13">
        <v>96</v>
      </c>
      <c r="AB66" s="1">
        <v>88</v>
      </c>
      <c r="AC66" s="1">
        <v>96</v>
      </c>
      <c r="AD66" s="17">
        <v>96</v>
      </c>
      <c r="AE66" s="42">
        <v>0</v>
      </c>
      <c r="AF66" s="7">
        <v>0.24</v>
      </c>
      <c r="AG66" s="7">
        <v>1.05</v>
      </c>
      <c r="AH66" s="7">
        <v>0.1</v>
      </c>
      <c r="AI66" s="48">
        <v>0.2</v>
      </c>
      <c r="AP66" s="17"/>
      <c r="AQ66" s="17"/>
      <c r="AR66" s="17"/>
      <c r="AS66" s="120"/>
      <c r="AT66" s="120"/>
      <c r="AY66" s="1"/>
    </row>
    <row r="67" spans="1:51">
      <c r="A67" s="1" t="s">
        <v>88</v>
      </c>
      <c r="B67" s="80">
        <v>40752</v>
      </c>
      <c r="C67" s="16" t="s">
        <v>198</v>
      </c>
      <c r="D67" s="106">
        <v>0.25</v>
      </c>
      <c r="E67" s="10" t="s">
        <v>204</v>
      </c>
      <c r="F67" s="1" t="s">
        <v>225</v>
      </c>
      <c r="G67" s="120">
        <v>10</v>
      </c>
      <c r="H67" s="106">
        <v>0.5</v>
      </c>
      <c r="I67" s="10">
        <v>0.1</v>
      </c>
      <c r="J67" s="1" t="s">
        <v>225</v>
      </c>
      <c r="K67" s="17">
        <v>10</v>
      </c>
      <c r="L67" s="106">
        <v>0.75</v>
      </c>
      <c r="M67" s="10">
        <v>0.06</v>
      </c>
      <c r="N67" s="1" t="s">
        <v>210</v>
      </c>
      <c r="O67" s="17">
        <v>20</v>
      </c>
      <c r="P67" s="42">
        <v>1</v>
      </c>
      <c r="Q67" s="7">
        <v>0</v>
      </c>
      <c r="R67" s="1" t="s">
        <v>225</v>
      </c>
      <c r="S67" s="15">
        <v>10</v>
      </c>
      <c r="T67" s="42">
        <v>1.25</v>
      </c>
      <c r="U67" s="7" t="s">
        <v>204</v>
      </c>
      <c r="V67" s="7" t="s">
        <v>225</v>
      </c>
      <c r="W67" s="126">
        <v>10</v>
      </c>
      <c r="X67" s="13">
        <v>0</v>
      </c>
      <c r="Y67" s="1">
        <v>1</v>
      </c>
      <c r="Z67" s="17">
        <v>4</v>
      </c>
      <c r="AA67" s="13">
        <v>79</v>
      </c>
      <c r="AB67" s="1">
        <v>68</v>
      </c>
      <c r="AC67" s="1">
        <v>96</v>
      </c>
      <c r="AD67" s="17">
        <v>93</v>
      </c>
      <c r="AE67" s="42">
        <v>0.52</v>
      </c>
      <c r="AF67" s="7">
        <v>0.35</v>
      </c>
      <c r="AG67" s="7">
        <v>1.36</v>
      </c>
      <c r="AH67" s="7">
        <v>0.08</v>
      </c>
      <c r="AI67" s="48">
        <v>0.5</v>
      </c>
      <c r="AP67" s="17"/>
      <c r="AQ67" s="17"/>
      <c r="AR67" s="17"/>
      <c r="AS67" s="120"/>
      <c r="AT67" s="120"/>
      <c r="AY67" s="1"/>
    </row>
    <row r="68" spans="1:51">
      <c r="A68" s="1" t="s">
        <v>71</v>
      </c>
      <c r="B68" s="80">
        <v>40730</v>
      </c>
      <c r="C68" s="16" t="s">
        <v>200</v>
      </c>
      <c r="D68" s="106">
        <v>0.16</v>
      </c>
      <c r="E68" s="10">
        <v>0.08</v>
      </c>
      <c r="F68" s="1" t="s">
        <v>207</v>
      </c>
      <c r="G68" s="120">
        <v>0</v>
      </c>
      <c r="H68" s="106">
        <v>0.28999999999999998</v>
      </c>
      <c r="I68" s="10">
        <v>7.0000000000000007E-2</v>
      </c>
      <c r="J68" s="1" t="s">
        <v>225</v>
      </c>
      <c r="K68" s="17">
        <v>75</v>
      </c>
      <c r="L68" s="106">
        <v>0.42</v>
      </c>
      <c r="M68" s="10">
        <v>0.1</v>
      </c>
      <c r="N68" s="1" t="s">
        <v>225</v>
      </c>
      <c r="O68" s="17">
        <v>50</v>
      </c>
      <c r="P68" s="42">
        <v>0.61</v>
      </c>
      <c r="Q68" s="7">
        <v>0.13</v>
      </c>
      <c r="R68" s="1" t="s">
        <v>210</v>
      </c>
      <c r="S68" s="15">
        <v>0</v>
      </c>
      <c r="T68" s="42">
        <v>0.78</v>
      </c>
      <c r="U68" s="7">
        <v>0.13</v>
      </c>
      <c r="V68" s="7" t="s">
        <v>199</v>
      </c>
      <c r="W68" s="126">
        <v>100</v>
      </c>
      <c r="X68" s="13">
        <v>0</v>
      </c>
      <c r="Y68" s="1">
        <v>1</v>
      </c>
      <c r="Z68" s="17">
        <v>4</v>
      </c>
      <c r="AE68" s="42">
        <v>0.17</v>
      </c>
      <c r="AF68" s="7">
        <v>0.32</v>
      </c>
      <c r="AG68" s="7">
        <v>1.58</v>
      </c>
      <c r="AH68" s="7">
        <v>0.13</v>
      </c>
      <c r="AI68" s="48">
        <v>0.6</v>
      </c>
      <c r="AJ68" s="13">
        <v>0.28999999999999998</v>
      </c>
      <c r="AK68" s="120">
        <v>0.56999999999999995</v>
      </c>
      <c r="AL68" s="13" t="s">
        <v>228</v>
      </c>
      <c r="AM68" s="1" t="s">
        <v>228</v>
      </c>
      <c r="AN68" s="1" t="s">
        <v>228</v>
      </c>
      <c r="AO68" s="1" t="s">
        <v>228</v>
      </c>
      <c r="AP68" s="17" t="s">
        <v>225</v>
      </c>
      <c r="AQ68" s="17"/>
      <c r="AR68" s="17"/>
      <c r="AS68" s="120"/>
      <c r="AT68" s="120"/>
      <c r="AY68" s="1"/>
    </row>
    <row r="69" spans="1:51">
      <c r="A69" s="1" t="s">
        <v>71</v>
      </c>
      <c r="B69" s="80">
        <v>40730</v>
      </c>
      <c r="C69" s="16" t="s">
        <v>208</v>
      </c>
      <c r="D69" s="106">
        <v>0.5</v>
      </c>
      <c r="E69" s="10">
        <v>0.15</v>
      </c>
      <c r="F69" s="1" t="s">
        <v>207</v>
      </c>
      <c r="G69" s="120">
        <v>0</v>
      </c>
      <c r="H69" s="106">
        <v>0.6</v>
      </c>
      <c r="I69" s="10">
        <v>0.12</v>
      </c>
      <c r="J69" s="1" t="s">
        <v>225</v>
      </c>
      <c r="K69" s="17">
        <v>50</v>
      </c>
      <c r="L69" s="106">
        <v>0.7</v>
      </c>
      <c r="M69" s="10">
        <v>0.18</v>
      </c>
      <c r="N69" s="1" t="s">
        <v>207</v>
      </c>
      <c r="O69" s="17">
        <v>0</v>
      </c>
      <c r="P69" s="42">
        <v>0.8</v>
      </c>
      <c r="Q69" s="7">
        <v>0.24</v>
      </c>
      <c r="R69" s="1" t="s">
        <v>225</v>
      </c>
      <c r="S69" s="15">
        <v>50</v>
      </c>
      <c r="T69" s="42">
        <v>0.9</v>
      </c>
      <c r="U69" s="7">
        <v>0.25</v>
      </c>
      <c r="V69" s="7" t="s">
        <v>201</v>
      </c>
      <c r="W69" s="126">
        <v>100</v>
      </c>
      <c r="X69" s="13">
        <v>0</v>
      </c>
      <c r="Y69" s="1">
        <v>1</v>
      </c>
      <c r="Z69" s="17">
        <v>4</v>
      </c>
      <c r="AE69" s="42">
        <v>0.41</v>
      </c>
      <c r="AF69" s="7">
        <v>0.41</v>
      </c>
      <c r="AG69" s="7">
        <v>1.51</v>
      </c>
      <c r="AH69" s="7">
        <v>0.25</v>
      </c>
      <c r="AI69" s="48">
        <v>0.05</v>
      </c>
      <c r="AJ69" s="13">
        <v>0.33</v>
      </c>
      <c r="AK69" s="120">
        <v>1.29</v>
      </c>
      <c r="AL69" s="13" t="s">
        <v>199</v>
      </c>
      <c r="AM69" s="1" t="s">
        <v>199</v>
      </c>
      <c r="AN69" s="1" t="s">
        <v>225</v>
      </c>
      <c r="AO69" s="1" t="s">
        <v>225</v>
      </c>
      <c r="AP69" s="17" t="s">
        <v>207</v>
      </c>
      <c r="AQ69" s="17"/>
      <c r="AR69" s="17"/>
      <c r="AS69" s="120"/>
      <c r="AT69" s="120"/>
      <c r="AY69" s="1"/>
    </row>
    <row r="70" spans="1:51">
      <c r="A70" s="1" t="s">
        <v>71</v>
      </c>
      <c r="B70" s="80">
        <v>40730</v>
      </c>
      <c r="C70" s="16" t="s">
        <v>203</v>
      </c>
      <c r="D70" s="106">
        <v>0.32</v>
      </c>
      <c r="E70" s="10">
        <v>0.19</v>
      </c>
      <c r="F70" s="1" t="s">
        <v>199</v>
      </c>
      <c r="G70" s="120">
        <v>100</v>
      </c>
      <c r="H70" s="106">
        <v>0.46</v>
      </c>
      <c r="I70" s="10">
        <v>0.23</v>
      </c>
      <c r="J70" s="1" t="s">
        <v>199</v>
      </c>
      <c r="K70" s="17">
        <v>100</v>
      </c>
      <c r="L70" s="106">
        <v>0.56000000000000005</v>
      </c>
      <c r="M70" s="10">
        <v>0.14000000000000001</v>
      </c>
      <c r="N70" s="1" t="s">
        <v>228</v>
      </c>
      <c r="O70" s="17">
        <v>50</v>
      </c>
      <c r="P70" s="42">
        <v>0.74</v>
      </c>
      <c r="Q70" s="7">
        <v>0.15</v>
      </c>
      <c r="R70" s="1" t="s">
        <v>199</v>
      </c>
      <c r="S70" s="15">
        <v>100</v>
      </c>
      <c r="T70" s="42">
        <v>0.92</v>
      </c>
      <c r="U70" s="7">
        <v>0.16</v>
      </c>
      <c r="V70" s="7" t="s">
        <v>199</v>
      </c>
      <c r="W70" s="126">
        <v>100</v>
      </c>
      <c r="X70" s="13">
        <v>0</v>
      </c>
      <c r="Y70" s="1">
        <v>0</v>
      </c>
      <c r="Z70" s="17">
        <v>4</v>
      </c>
      <c r="AE70" s="42">
        <v>0.35</v>
      </c>
      <c r="AF70" s="7">
        <v>0</v>
      </c>
      <c r="AG70" s="7">
        <v>1.1399999999999999</v>
      </c>
      <c r="AH70" s="7">
        <v>0.23</v>
      </c>
      <c r="AI70" s="48">
        <v>0.15</v>
      </c>
      <c r="AJ70" s="13">
        <v>0.22</v>
      </c>
      <c r="AK70" s="120">
        <v>1.26</v>
      </c>
      <c r="AL70" s="13" t="s">
        <v>199</v>
      </c>
      <c r="AM70" s="1" t="s">
        <v>225</v>
      </c>
      <c r="AN70" s="1" t="s">
        <v>199</v>
      </c>
      <c r="AO70" s="1" t="s">
        <v>199</v>
      </c>
      <c r="AP70" s="17" t="s">
        <v>225</v>
      </c>
      <c r="AQ70" s="17"/>
      <c r="AR70" s="17"/>
      <c r="AS70" s="120"/>
      <c r="AT70" s="120"/>
      <c r="AY70" s="1" t="s">
        <v>260</v>
      </c>
    </row>
    <row r="71" spans="1:51">
      <c r="A71" s="1" t="s">
        <v>71</v>
      </c>
      <c r="B71" s="80">
        <v>40730</v>
      </c>
      <c r="C71" s="16" t="s">
        <v>217</v>
      </c>
      <c r="D71" s="106">
        <v>0.34</v>
      </c>
      <c r="E71" s="10">
        <v>0.17</v>
      </c>
      <c r="F71" s="1" t="s">
        <v>210</v>
      </c>
      <c r="G71" s="120">
        <v>0</v>
      </c>
      <c r="H71" s="106">
        <v>0.44</v>
      </c>
      <c r="I71" s="10">
        <v>0.17</v>
      </c>
      <c r="J71" s="1" t="s">
        <v>210</v>
      </c>
      <c r="K71" s="17">
        <v>0</v>
      </c>
      <c r="L71" s="106">
        <v>0.54</v>
      </c>
      <c r="M71" s="10">
        <v>0.2</v>
      </c>
      <c r="N71" s="1" t="s">
        <v>228</v>
      </c>
      <c r="O71" s="17">
        <v>0</v>
      </c>
      <c r="P71" s="42">
        <v>0.74</v>
      </c>
      <c r="Q71" s="7">
        <v>0.11</v>
      </c>
      <c r="R71" s="1" t="s">
        <v>225</v>
      </c>
      <c r="S71" s="15">
        <v>0</v>
      </c>
      <c r="T71" s="42">
        <v>0.84</v>
      </c>
      <c r="U71" s="7">
        <v>7.0000000000000007E-2</v>
      </c>
      <c r="V71" s="7" t="s">
        <v>225</v>
      </c>
      <c r="W71" s="126">
        <v>0</v>
      </c>
      <c r="X71" s="13">
        <v>0</v>
      </c>
      <c r="Y71" s="1">
        <v>1</v>
      </c>
      <c r="Z71" s="17">
        <v>2</v>
      </c>
      <c r="AE71" s="42">
        <v>0.22</v>
      </c>
      <c r="AF71" s="7">
        <v>0.12</v>
      </c>
      <c r="AG71" s="7">
        <v>1.21</v>
      </c>
      <c r="AH71" s="7">
        <v>0.17</v>
      </c>
      <c r="AI71" s="48">
        <v>0.24</v>
      </c>
      <c r="AJ71" s="13">
        <v>0.18</v>
      </c>
      <c r="AK71" s="120">
        <v>1.63</v>
      </c>
      <c r="AL71" s="13" t="s">
        <v>199</v>
      </c>
      <c r="AM71" s="1" t="s">
        <v>210</v>
      </c>
      <c r="AN71" s="1" t="s">
        <v>207</v>
      </c>
      <c r="AO71" s="1" t="s">
        <v>207</v>
      </c>
      <c r="AP71" s="17" t="s">
        <v>207</v>
      </c>
      <c r="AQ71" s="17"/>
      <c r="AR71" s="17"/>
      <c r="AS71" s="120"/>
      <c r="AT71" s="120"/>
      <c r="AY71" s="1"/>
    </row>
    <row r="72" spans="1:51">
      <c r="A72" s="1" t="s">
        <v>71</v>
      </c>
      <c r="B72" s="80">
        <v>40730</v>
      </c>
      <c r="C72" s="16" t="s">
        <v>219</v>
      </c>
      <c r="D72" s="106">
        <v>0.3</v>
      </c>
      <c r="E72" s="10">
        <v>0.3</v>
      </c>
      <c r="F72" s="1" t="s">
        <v>225</v>
      </c>
      <c r="G72" s="120">
        <v>50</v>
      </c>
      <c r="H72" s="106">
        <v>0.6</v>
      </c>
      <c r="I72" s="10">
        <v>0</v>
      </c>
      <c r="J72" s="1" t="s">
        <v>225</v>
      </c>
      <c r="K72" s="17">
        <v>20</v>
      </c>
      <c r="L72" s="106">
        <v>0.9</v>
      </c>
      <c r="M72" s="10">
        <v>0.06</v>
      </c>
      <c r="N72" s="1" t="s">
        <v>225</v>
      </c>
      <c r="O72" s="17">
        <v>20</v>
      </c>
      <c r="P72" s="42">
        <v>1.2</v>
      </c>
      <c r="Q72" s="7">
        <v>0.17</v>
      </c>
      <c r="R72" s="1" t="s">
        <v>225</v>
      </c>
      <c r="S72" s="15">
        <v>90</v>
      </c>
      <c r="T72" s="42">
        <v>1.5</v>
      </c>
      <c r="U72" s="7">
        <v>0.13</v>
      </c>
      <c r="V72" s="7" t="s">
        <v>199</v>
      </c>
      <c r="W72" s="126">
        <v>100</v>
      </c>
      <c r="X72" s="13">
        <v>0</v>
      </c>
      <c r="Y72" s="1">
        <v>2</v>
      </c>
      <c r="Z72" s="17">
        <v>4</v>
      </c>
      <c r="AE72" s="42">
        <v>0.05</v>
      </c>
      <c r="AF72" s="7">
        <v>0.44</v>
      </c>
      <c r="AG72" s="7">
        <v>1.66</v>
      </c>
      <c r="AH72" s="7">
        <v>0.2</v>
      </c>
      <c r="AI72" s="48">
        <v>0.17</v>
      </c>
      <c r="AJ72" s="13">
        <v>1.7</v>
      </c>
      <c r="AK72" s="120">
        <v>1.3</v>
      </c>
      <c r="AL72" s="13" t="s">
        <v>225</v>
      </c>
      <c r="AM72" s="1" t="s">
        <v>225</v>
      </c>
      <c r="AN72" s="1" t="s">
        <v>225</v>
      </c>
      <c r="AO72" s="1" t="s">
        <v>207</v>
      </c>
      <c r="AP72" s="17" t="s">
        <v>225</v>
      </c>
      <c r="AQ72" s="17"/>
      <c r="AR72" s="17"/>
      <c r="AS72" s="120"/>
      <c r="AT72" s="120"/>
      <c r="AU72" s="1" t="s">
        <v>244</v>
      </c>
      <c r="AV72" s="24" t="s">
        <v>235</v>
      </c>
      <c r="AW72" s="86" t="s">
        <v>241</v>
      </c>
      <c r="AX72" s="16">
        <v>1</v>
      </c>
      <c r="AY72" s="1"/>
    </row>
    <row r="73" spans="1:51">
      <c r="A73" s="1" t="s">
        <v>71</v>
      </c>
      <c r="B73" s="80">
        <v>40730</v>
      </c>
      <c r="C73" s="16" t="s">
        <v>220</v>
      </c>
      <c r="D73" s="106">
        <v>0.15</v>
      </c>
      <c r="E73" s="10">
        <v>0.09</v>
      </c>
      <c r="F73" s="1" t="s">
        <v>225</v>
      </c>
      <c r="G73" s="120">
        <v>50</v>
      </c>
      <c r="H73" s="106">
        <v>0.3</v>
      </c>
      <c r="I73" s="10">
        <v>0.19</v>
      </c>
      <c r="J73" s="1" t="s">
        <v>199</v>
      </c>
      <c r="K73" s="17">
        <v>100</v>
      </c>
      <c r="L73" s="106">
        <v>0.45</v>
      </c>
      <c r="M73" s="10">
        <v>0.19</v>
      </c>
      <c r="N73" s="1" t="s">
        <v>210</v>
      </c>
      <c r="O73" s="17">
        <v>0</v>
      </c>
      <c r="P73" s="42">
        <v>0.6</v>
      </c>
      <c r="Q73" s="7">
        <v>0.2</v>
      </c>
      <c r="R73" s="1" t="s">
        <v>207</v>
      </c>
      <c r="S73" s="15">
        <v>0</v>
      </c>
      <c r="T73" s="42">
        <v>0.8</v>
      </c>
      <c r="U73" s="7">
        <v>0.1</v>
      </c>
      <c r="V73" s="7" t="s">
        <v>225</v>
      </c>
      <c r="W73" s="126">
        <v>0</v>
      </c>
      <c r="X73" s="13">
        <v>1</v>
      </c>
      <c r="Y73" s="1">
        <v>1</v>
      </c>
      <c r="Z73" s="17">
        <v>4</v>
      </c>
      <c r="AE73" s="42">
        <v>0.13</v>
      </c>
      <c r="AF73" s="7">
        <v>0.13</v>
      </c>
      <c r="AG73" s="7">
        <v>1.1100000000000001</v>
      </c>
      <c r="AH73" s="7">
        <v>0.22</v>
      </c>
      <c r="AI73" s="48">
        <v>0.31</v>
      </c>
      <c r="AJ73" s="13">
        <v>0.19</v>
      </c>
      <c r="AK73" s="120">
        <v>1.5</v>
      </c>
      <c r="AL73" s="13" t="s">
        <v>199</v>
      </c>
      <c r="AM73" s="1" t="s">
        <v>199</v>
      </c>
      <c r="AN73" s="1" t="s">
        <v>225</v>
      </c>
      <c r="AO73" s="1" t="s">
        <v>207</v>
      </c>
      <c r="AP73" s="17" t="s">
        <v>228</v>
      </c>
      <c r="AQ73" s="17"/>
      <c r="AR73" s="17"/>
      <c r="AS73" s="120"/>
      <c r="AT73" s="120"/>
      <c r="AY73" s="1"/>
    </row>
    <row r="74" spans="1:51">
      <c r="A74" s="1" t="s">
        <v>71</v>
      </c>
      <c r="B74" s="80">
        <v>40730</v>
      </c>
      <c r="C74" s="16" t="s">
        <v>198</v>
      </c>
      <c r="D74" s="106">
        <v>0.22</v>
      </c>
      <c r="E74" s="10">
        <v>0.17</v>
      </c>
      <c r="F74" s="1" t="s">
        <v>210</v>
      </c>
      <c r="G74" s="120">
        <v>0</v>
      </c>
      <c r="H74" s="106">
        <v>0.34</v>
      </c>
      <c r="I74" s="10">
        <v>0.18</v>
      </c>
      <c r="J74" s="1" t="s">
        <v>199</v>
      </c>
      <c r="K74" s="17">
        <v>100</v>
      </c>
      <c r="L74" s="106">
        <v>0.44</v>
      </c>
      <c r="M74" s="10">
        <v>0.11</v>
      </c>
      <c r="N74" s="1" t="s">
        <v>225</v>
      </c>
      <c r="O74" s="17">
        <v>60</v>
      </c>
      <c r="P74" s="42">
        <v>0.59</v>
      </c>
      <c r="Q74" s="7">
        <v>0.15</v>
      </c>
      <c r="R74" s="1" t="s">
        <v>210</v>
      </c>
      <c r="S74" s="15">
        <v>0</v>
      </c>
      <c r="T74" s="42">
        <v>0.7</v>
      </c>
      <c r="U74" s="7">
        <v>0.08</v>
      </c>
      <c r="V74" s="7" t="s">
        <v>225</v>
      </c>
      <c r="W74" s="126">
        <v>0</v>
      </c>
      <c r="X74" s="13">
        <v>0</v>
      </c>
      <c r="Y74" s="1">
        <v>2</v>
      </c>
      <c r="Z74" s="17">
        <v>4</v>
      </c>
      <c r="AE74" s="42">
        <v>0.18</v>
      </c>
      <c r="AF74" s="7">
        <v>0.32</v>
      </c>
      <c r="AG74" s="7">
        <v>1.1100000000000001</v>
      </c>
      <c r="AH74" s="7">
        <v>0.18</v>
      </c>
      <c r="AI74" s="48">
        <v>0.25</v>
      </c>
      <c r="AP74" s="17"/>
      <c r="AQ74" s="17"/>
      <c r="AR74" s="17"/>
      <c r="AS74" s="120"/>
      <c r="AT74" s="120"/>
      <c r="AY74" s="1"/>
    </row>
    <row r="75" spans="1:51">
      <c r="A75" s="1" t="s">
        <v>72</v>
      </c>
      <c r="B75" s="80">
        <v>40731</v>
      </c>
      <c r="C75" s="16" t="s">
        <v>220</v>
      </c>
      <c r="D75" s="106">
        <v>0</v>
      </c>
      <c r="E75" s="10">
        <v>0.02</v>
      </c>
      <c r="F75" s="1" t="s">
        <v>199</v>
      </c>
      <c r="G75" s="120">
        <v>100</v>
      </c>
      <c r="H75" s="106">
        <f>11*0.025</f>
        <v>0.27500000000000002</v>
      </c>
      <c r="I75" s="10">
        <f>4*0.025</f>
        <v>0.1</v>
      </c>
      <c r="J75" s="1" t="s">
        <v>264</v>
      </c>
      <c r="K75" s="17">
        <v>40</v>
      </c>
      <c r="L75" s="106">
        <f>20*0.025</f>
        <v>0.5</v>
      </c>
      <c r="M75" s="10">
        <f>3*0.025</f>
        <v>7.5000000000000011E-2</v>
      </c>
      <c r="N75" s="1" t="s">
        <v>207</v>
      </c>
      <c r="O75" s="17">
        <v>50</v>
      </c>
      <c r="P75" s="42">
        <f>31*0.025</f>
        <v>0.77500000000000002</v>
      </c>
      <c r="Q75" s="7">
        <f>3.5*0.025</f>
        <v>8.7500000000000008E-2</v>
      </c>
      <c r="R75" s="1" t="s">
        <v>207</v>
      </c>
      <c r="S75" s="15">
        <v>50</v>
      </c>
      <c r="T75" s="42">
        <f>50*0.025</f>
        <v>1.25</v>
      </c>
      <c r="U75" s="7">
        <v>0.03</v>
      </c>
      <c r="V75" s="7" t="s">
        <v>199</v>
      </c>
      <c r="W75" s="126">
        <v>100</v>
      </c>
      <c r="X75" s="13">
        <v>0</v>
      </c>
      <c r="Y75" s="1">
        <v>1</v>
      </c>
      <c r="Z75" s="17">
        <v>2</v>
      </c>
      <c r="AE75" s="42">
        <v>0</v>
      </c>
      <c r="AF75" s="7">
        <v>2.5000000000000001E-2</v>
      </c>
      <c r="AG75" s="7">
        <v>1.25</v>
      </c>
      <c r="AH75" s="7">
        <f>5*0.025</f>
        <v>0.125</v>
      </c>
      <c r="AI75" s="48">
        <v>0.41</v>
      </c>
      <c r="AJ75" s="13">
        <v>0.125</v>
      </c>
      <c r="AK75" s="120">
        <v>1.25</v>
      </c>
      <c r="AL75" s="13" t="s">
        <v>199</v>
      </c>
      <c r="AM75" s="1" t="s">
        <v>199</v>
      </c>
      <c r="AN75" s="1" t="s">
        <v>199</v>
      </c>
      <c r="AO75" s="1" t="s">
        <v>199</v>
      </c>
      <c r="AP75" s="17" t="s">
        <v>199</v>
      </c>
      <c r="AQ75" s="17" t="s">
        <v>233</v>
      </c>
      <c r="AR75" s="17">
        <f>36*0.025</f>
        <v>0.9</v>
      </c>
      <c r="AS75" s="120">
        <f>36*0.025</f>
        <v>0.9</v>
      </c>
      <c r="AT75" s="120">
        <f>15*0.025</f>
        <v>0.375</v>
      </c>
      <c r="AY75" s="1"/>
    </row>
    <row r="76" spans="1:51">
      <c r="A76" s="1" t="s">
        <v>72</v>
      </c>
      <c r="B76" s="80">
        <v>40731</v>
      </c>
      <c r="C76" s="16" t="s">
        <v>219</v>
      </c>
      <c r="D76" s="106">
        <v>0</v>
      </c>
      <c r="E76" s="10">
        <v>2.5000000000000001E-2</v>
      </c>
      <c r="F76" s="1" t="s">
        <v>201</v>
      </c>
      <c r="G76" s="120">
        <v>100</v>
      </c>
      <c r="H76" s="106">
        <f>8*0.025</f>
        <v>0.2</v>
      </c>
      <c r="I76" s="10">
        <f>10*0.025</f>
        <v>0.25</v>
      </c>
      <c r="J76" s="1" t="s">
        <v>199</v>
      </c>
      <c r="K76" s="17">
        <v>100</v>
      </c>
      <c r="L76" s="106">
        <f>20*0.025</f>
        <v>0.5</v>
      </c>
      <c r="M76" s="10">
        <f>14*0.025</f>
        <v>0.35000000000000003</v>
      </c>
      <c r="N76" s="1" t="s">
        <v>199</v>
      </c>
      <c r="O76" s="17">
        <v>100</v>
      </c>
      <c r="P76" s="42">
        <f>26*0.025</f>
        <v>0.65</v>
      </c>
      <c r="Q76" s="7" t="s">
        <v>204</v>
      </c>
      <c r="R76" s="1" t="s">
        <v>266</v>
      </c>
      <c r="S76" s="15">
        <v>100</v>
      </c>
      <c r="T76" s="42">
        <f>34*0.025</f>
        <v>0.85000000000000009</v>
      </c>
      <c r="U76" s="7" t="s">
        <v>204</v>
      </c>
      <c r="V76" s="7" t="s">
        <v>199</v>
      </c>
      <c r="W76" s="126">
        <v>100</v>
      </c>
      <c r="X76" s="13">
        <v>0</v>
      </c>
      <c r="Y76" s="1">
        <v>0</v>
      </c>
      <c r="Z76" s="17">
        <v>2</v>
      </c>
      <c r="AE76" s="42">
        <v>0</v>
      </c>
      <c r="AF76" s="7">
        <f>15*0.025</f>
        <v>0.375</v>
      </c>
      <c r="AG76" s="7">
        <f>34*0.025</f>
        <v>0.85000000000000009</v>
      </c>
      <c r="AH76" s="7">
        <f>11*0.025</f>
        <v>0.27500000000000002</v>
      </c>
      <c r="AI76" s="48">
        <v>0.28000000000000003</v>
      </c>
      <c r="AJ76" s="13">
        <f>14*0.025</f>
        <v>0.35000000000000003</v>
      </c>
      <c r="AK76" s="120">
        <v>0.85</v>
      </c>
      <c r="AL76" s="13" t="s">
        <v>201</v>
      </c>
      <c r="AM76" s="1" t="s">
        <v>201</v>
      </c>
      <c r="AN76" s="1" t="s">
        <v>201</v>
      </c>
      <c r="AO76" s="1" t="s">
        <v>201</v>
      </c>
      <c r="AP76" s="17" t="s">
        <v>201</v>
      </c>
      <c r="AQ76" s="17" t="s">
        <v>233</v>
      </c>
      <c r="AR76" s="17">
        <f>49*0.025</f>
        <v>1.2250000000000001</v>
      </c>
      <c r="AS76" s="120">
        <f>42*0.025</f>
        <v>1.05</v>
      </c>
      <c r="AT76" s="120">
        <f>10*0.025</f>
        <v>0.25</v>
      </c>
      <c r="AU76" s="1" t="s">
        <v>233</v>
      </c>
      <c r="AV76" s="24" t="s">
        <v>265</v>
      </c>
      <c r="AW76" s="86" t="s">
        <v>241</v>
      </c>
      <c r="AX76" s="16">
        <v>1</v>
      </c>
      <c r="AY76" s="1"/>
    </row>
    <row r="77" spans="1:51">
      <c r="A77" s="1" t="s">
        <v>72</v>
      </c>
      <c r="B77" s="80">
        <v>40731</v>
      </c>
      <c r="C77" s="16" t="s">
        <v>219</v>
      </c>
      <c r="AP77" s="17"/>
      <c r="AQ77" s="17" t="s">
        <v>244</v>
      </c>
      <c r="AR77" s="17">
        <f>48*0.025</f>
        <v>1.2000000000000002</v>
      </c>
      <c r="AS77" s="120">
        <f>57*0.025</f>
        <v>1.425</v>
      </c>
      <c r="AT77" s="120">
        <f>11*0.025</f>
        <v>0.27500000000000002</v>
      </c>
      <c r="AY77" s="1"/>
    </row>
    <row r="78" spans="1:51">
      <c r="A78" s="1" t="s">
        <v>72</v>
      </c>
      <c r="B78" s="80">
        <v>40731</v>
      </c>
      <c r="C78" s="16" t="s">
        <v>208</v>
      </c>
      <c r="D78" s="106">
        <v>0</v>
      </c>
      <c r="E78" s="10">
        <f>1.5*0.025</f>
        <v>3.7500000000000006E-2</v>
      </c>
      <c r="F78" s="1" t="s">
        <v>201</v>
      </c>
      <c r="G78" s="120">
        <v>100</v>
      </c>
      <c r="H78" s="106">
        <f>7*0.025</f>
        <v>0.17500000000000002</v>
      </c>
      <c r="I78" s="10">
        <f>11*0.025</f>
        <v>0.27500000000000002</v>
      </c>
      <c r="J78" s="1" t="s">
        <v>199</v>
      </c>
      <c r="K78" s="17">
        <v>100</v>
      </c>
      <c r="L78" s="106">
        <f>19*0.025</f>
        <v>0.47500000000000003</v>
      </c>
      <c r="M78" s="10">
        <f>17.5*0.025</f>
        <v>0.4375</v>
      </c>
      <c r="N78" s="1" t="s">
        <v>199</v>
      </c>
      <c r="O78" s="17">
        <v>100</v>
      </c>
      <c r="P78" s="42">
        <f>28*0.025</f>
        <v>0.70000000000000007</v>
      </c>
      <c r="Q78" s="7">
        <f>16*0.025</f>
        <v>0.4</v>
      </c>
      <c r="R78" s="1" t="s">
        <v>199</v>
      </c>
      <c r="S78" s="15">
        <v>100</v>
      </c>
      <c r="T78" s="42">
        <f>34*0.025</f>
        <v>0.85000000000000009</v>
      </c>
      <c r="U78" s="7">
        <f>11.5*0.025</f>
        <v>0.28750000000000003</v>
      </c>
      <c r="V78" s="7" t="s">
        <v>201</v>
      </c>
      <c r="W78" s="126">
        <v>100</v>
      </c>
      <c r="X78" s="13">
        <v>0</v>
      </c>
      <c r="Y78" s="1">
        <v>0</v>
      </c>
      <c r="Z78" s="17">
        <v>2</v>
      </c>
      <c r="AE78" s="42">
        <f>4*0.025</f>
        <v>0.1</v>
      </c>
      <c r="AF78" s="7">
        <v>0</v>
      </c>
      <c r="AG78" s="7">
        <f>34*0.025</f>
        <v>0.85000000000000009</v>
      </c>
      <c r="AH78" s="7">
        <f>20*0.025</f>
        <v>0.5</v>
      </c>
      <c r="AI78" s="48">
        <v>0.17</v>
      </c>
      <c r="AJ78" s="13">
        <f>21*0.025</f>
        <v>0.52500000000000002</v>
      </c>
      <c r="AK78" s="120">
        <f>52*0.025</f>
        <v>1.3</v>
      </c>
      <c r="AL78" s="13" t="s">
        <v>201</v>
      </c>
      <c r="AM78" s="1" t="s">
        <v>201</v>
      </c>
      <c r="AN78" s="1" t="s">
        <v>201</v>
      </c>
      <c r="AO78" s="1" t="s">
        <v>201</v>
      </c>
      <c r="AP78" s="17" t="s">
        <v>201</v>
      </c>
      <c r="AQ78" s="17" t="s">
        <v>244</v>
      </c>
      <c r="AR78" s="17">
        <v>1.2</v>
      </c>
      <c r="AS78" s="120">
        <f>45*0.025</f>
        <v>1.125</v>
      </c>
      <c r="AT78" s="120">
        <f>21*0.025</f>
        <v>0.52500000000000002</v>
      </c>
      <c r="AY78" s="1"/>
    </row>
    <row r="79" spans="1:51">
      <c r="A79" s="1" t="s">
        <v>72</v>
      </c>
      <c r="B79" s="80">
        <v>40731</v>
      </c>
      <c r="C79" s="16" t="s">
        <v>208</v>
      </c>
      <c r="AP79" s="17"/>
      <c r="AQ79" s="17" t="s">
        <v>218</v>
      </c>
      <c r="AR79" s="17">
        <f>36*0.025</f>
        <v>0.9</v>
      </c>
      <c r="AS79" s="120">
        <f>19*0.025</f>
        <v>0.47500000000000003</v>
      </c>
      <c r="AT79" s="120">
        <f>26*0.025</f>
        <v>0.65</v>
      </c>
      <c r="AY79" s="1"/>
    </row>
    <row r="80" spans="1:51">
      <c r="A80" s="1" t="s">
        <v>72</v>
      </c>
      <c r="B80" s="80">
        <v>40731</v>
      </c>
      <c r="C80" s="16" t="s">
        <v>208</v>
      </c>
      <c r="AP80" s="17"/>
      <c r="AQ80" s="17" t="s">
        <v>218</v>
      </c>
      <c r="AR80" s="17">
        <f>24*0.025</f>
        <v>0.60000000000000009</v>
      </c>
      <c r="AS80" s="120">
        <f>25*0.025</f>
        <v>0.625</v>
      </c>
      <c r="AT80" s="120">
        <f>22*0.025</f>
        <v>0.55000000000000004</v>
      </c>
      <c r="AY80" s="1"/>
    </row>
    <row r="81" spans="1:51">
      <c r="A81" s="1" t="s">
        <v>72</v>
      </c>
      <c r="B81" s="80">
        <v>40731</v>
      </c>
      <c r="C81" s="16" t="s">
        <v>208</v>
      </c>
      <c r="AP81" s="17"/>
      <c r="AQ81" s="17" t="s">
        <v>218</v>
      </c>
      <c r="AR81" s="17">
        <f>24*0.025</f>
        <v>0.60000000000000009</v>
      </c>
      <c r="AS81" s="120">
        <f>52*0.025</f>
        <v>1.3</v>
      </c>
      <c r="AT81" s="120">
        <f>17*0.025</f>
        <v>0.42500000000000004</v>
      </c>
      <c r="AY81" s="1"/>
    </row>
    <row r="82" spans="1:51">
      <c r="A82" s="1" t="s">
        <v>72</v>
      </c>
      <c r="B82" s="80">
        <v>40731</v>
      </c>
      <c r="C82" s="16" t="s">
        <v>208</v>
      </c>
      <c r="AP82" s="17"/>
      <c r="AQ82" s="17" t="s">
        <v>218</v>
      </c>
      <c r="AR82" s="17">
        <f>48*0.025</f>
        <v>1.2000000000000002</v>
      </c>
      <c r="AS82" s="120">
        <f>52*0.025</f>
        <v>1.3</v>
      </c>
      <c r="AT82" s="120">
        <f>16*0.025</f>
        <v>0.4</v>
      </c>
      <c r="AY82" s="1"/>
    </row>
    <row r="83" spans="1:51">
      <c r="A83" s="1" t="s">
        <v>72</v>
      </c>
      <c r="B83" s="80">
        <v>40731</v>
      </c>
      <c r="C83" s="16" t="s">
        <v>208</v>
      </c>
      <c r="AP83" s="17"/>
      <c r="AQ83" s="17" t="s">
        <v>218</v>
      </c>
      <c r="AR83" s="17">
        <f>36*0.025</f>
        <v>0.9</v>
      </c>
      <c r="AS83" s="120">
        <f>77*0.025</f>
        <v>1.925</v>
      </c>
      <c r="AT83" s="120">
        <f>16*0.025</f>
        <v>0.4</v>
      </c>
      <c r="AY83" s="1"/>
    </row>
    <row r="84" spans="1:51">
      <c r="A84" s="1" t="s">
        <v>72</v>
      </c>
      <c r="B84" s="80">
        <v>40731</v>
      </c>
      <c r="C84" s="16" t="s">
        <v>217</v>
      </c>
      <c r="D84" s="106">
        <v>0</v>
      </c>
      <c r="E84" s="10">
        <f>19*0.025</f>
        <v>0.47500000000000003</v>
      </c>
      <c r="F84" s="1" t="s">
        <v>201</v>
      </c>
      <c r="G84" s="120">
        <v>100</v>
      </c>
      <c r="H84" s="106">
        <f>9*0.025</f>
        <v>0.22500000000000001</v>
      </c>
      <c r="I84" s="10">
        <f>1.5*0.025</f>
        <v>3.7500000000000006E-2</v>
      </c>
      <c r="J84" s="1" t="s">
        <v>201</v>
      </c>
      <c r="K84" s="17">
        <v>100</v>
      </c>
      <c r="L84" s="106">
        <f>20*0.025</f>
        <v>0.5</v>
      </c>
      <c r="M84" s="10">
        <f>15*0.025</f>
        <v>0.375</v>
      </c>
      <c r="N84" s="1" t="s">
        <v>201</v>
      </c>
      <c r="O84" s="17">
        <v>100</v>
      </c>
      <c r="P84" s="42">
        <f>29*0.025</f>
        <v>0.72500000000000009</v>
      </c>
      <c r="Q84" s="7">
        <f>10*0.025</f>
        <v>0.25</v>
      </c>
      <c r="R84" s="1" t="s">
        <v>201</v>
      </c>
      <c r="S84" s="15">
        <v>100</v>
      </c>
      <c r="T84" s="42">
        <f>40*0.025</f>
        <v>1</v>
      </c>
      <c r="U84" s="7">
        <f>29*0.025</f>
        <v>0.72500000000000009</v>
      </c>
      <c r="V84" s="7" t="s">
        <v>201</v>
      </c>
      <c r="W84" s="126">
        <v>100</v>
      </c>
      <c r="X84" s="13">
        <v>0</v>
      </c>
      <c r="Y84" s="1">
        <v>0</v>
      </c>
      <c r="Z84" s="17">
        <v>1</v>
      </c>
      <c r="AE84" s="42">
        <f>3*0.025</f>
        <v>7.5000000000000011E-2</v>
      </c>
      <c r="AF84" s="7">
        <v>0</v>
      </c>
      <c r="AG84" s="7">
        <f>40*0.025</f>
        <v>1</v>
      </c>
      <c r="AH84" s="7">
        <f>11*0.025</f>
        <v>0.27500000000000002</v>
      </c>
      <c r="AI84" s="48">
        <v>0.78</v>
      </c>
      <c r="AJ84" s="13">
        <f>13*0.025</f>
        <v>0.32500000000000001</v>
      </c>
      <c r="AK84" s="120">
        <f>37*0.025</f>
        <v>0.92500000000000004</v>
      </c>
      <c r="AL84" s="13" t="s">
        <v>199</v>
      </c>
      <c r="AM84" s="1" t="s">
        <v>199</v>
      </c>
      <c r="AN84" s="1" t="s">
        <v>199</v>
      </c>
      <c r="AO84" s="1" t="s">
        <v>199</v>
      </c>
      <c r="AP84" s="17" t="s">
        <v>199</v>
      </c>
      <c r="AQ84" s="17" t="s">
        <v>242</v>
      </c>
      <c r="AR84" s="17">
        <f>72*0.025</f>
        <v>1.8</v>
      </c>
      <c r="AS84" s="120">
        <f>75*0.025</f>
        <v>1.875</v>
      </c>
      <c r="AT84" s="120">
        <f>17*0.025</f>
        <v>0.42500000000000004</v>
      </c>
      <c r="AY84" s="1"/>
    </row>
    <row r="85" spans="1:51">
      <c r="A85" s="1" t="s">
        <v>72</v>
      </c>
      <c r="B85" s="80">
        <v>40731</v>
      </c>
      <c r="C85" s="16" t="s">
        <v>217</v>
      </c>
      <c r="AP85" s="17"/>
      <c r="AQ85" s="17" t="s">
        <v>242</v>
      </c>
      <c r="AR85" s="17">
        <f>78*0.025</f>
        <v>1.9500000000000002</v>
      </c>
      <c r="AS85" s="120">
        <f>48*0.025</f>
        <v>1.2000000000000002</v>
      </c>
      <c r="AT85" s="120">
        <f>8*0.025</f>
        <v>0.2</v>
      </c>
      <c r="AY85" s="1"/>
    </row>
    <row r="86" spans="1:51">
      <c r="A86" s="1" t="s">
        <v>72</v>
      </c>
      <c r="B86" s="80">
        <v>40731</v>
      </c>
      <c r="C86" s="16" t="s">
        <v>203</v>
      </c>
      <c r="D86" s="106">
        <v>0</v>
      </c>
      <c r="E86" s="10" t="s">
        <v>204</v>
      </c>
      <c r="F86" s="1" t="s">
        <v>199</v>
      </c>
      <c r="G86" s="120">
        <v>100</v>
      </c>
      <c r="H86" s="106">
        <f>7*0.025</f>
        <v>0.17500000000000002</v>
      </c>
      <c r="I86" s="10">
        <f>11*0.025</f>
        <v>0.27500000000000002</v>
      </c>
      <c r="J86" s="1" t="s">
        <v>199</v>
      </c>
      <c r="K86" s="17">
        <v>100</v>
      </c>
      <c r="L86" s="106">
        <f>15*0.025</f>
        <v>0.375</v>
      </c>
      <c r="M86" s="10">
        <v>0.27500000000000002</v>
      </c>
      <c r="N86" s="1" t="s">
        <v>207</v>
      </c>
      <c r="O86" s="17">
        <v>80</v>
      </c>
      <c r="P86" s="42">
        <f>21*0.025</f>
        <v>0.52500000000000002</v>
      </c>
      <c r="Q86" s="7">
        <v>0.27500000000000002</v>
      </c>
      <c r="R86" s="1" t="s">
        <v>199</v>
      </c>
      <c r="S86" s="15">
        <v>100</v>
      </c>
      <c r="T86" s="42" t="s">
        <v>204</v>
      </c>
      <c r="U86" s="7" t="s">
        <v>204</v>
      </c>
      <c r="V86" s="7" t="s">
        <v>199</v>
      </c>
      <c r="W86" s="126">
        <v>100</v>
      </c>
      <c r="X86" s="13">
        <v>0</v>
      </c>
      <c r="Y86" s="1">
        <v>0</v>
      </c>
      <c r="Z86" s="17">
        <v>1</v>
      </c>
      <c r="AE86" s="42">
        <f>7*0.025</f>
        <v>0.17500000000000002</v>
      </c>
      <c r="AF86" s="7">
        <f>5*0.025</f>
        <v>0.125</v>
      </c>
      <c r="AG86" s="7">
        <f>19*0.025</f>
        <v>0.47500000000000003</v>
      </c>
      <c r="AH86" s="7">
        <f>11*0.025</f>
        <v>0.27500000000000002</v>
      </c>
      <c r="AI86" s="48">
        <v>0.91</v>
      </c>
      <c r="AJ86" s="13">
        <f>9.5*0.025</f>
        <v>0.23750000000000002</v>
      </c>
      <c r="AK86" s="120">
        <f>79*0.025</f>
        <v>1.9750000000000001</v>
      </c>
      <c r="AL86" s="13" t="s">
        <v>199</v>
      </c>
      <c r="AM86" s="1" t="s">
        <v>199</v>
      </c>
      <c r="AN86" s="1" t="s">
        <v>199</v>
      </c>
      <c r="AO86" s="1" t="s">
        <v>199</v>
      </c>
      <c r="AP86" s="17" t="s">
        <v>199</v>
      </c>
      <c r="AQ86" s="17" t="s">
        <v>245</v>
      </c>
      <c r="AR86" s="17">
        <f>21*0.025</f>
        <v>0.52500000000000002</v>
      </c>
      <c r="AS86" s="120">
        <f>81*0.025</f>
        <v>2.0249999999999999</v>
      </c>
      <c r="AT86" s="120">
        <f>8*0.025</f>
        <v>0.2</v>
      </c>
      <c r="AY86" s="1"/>
    </row>
    <row r="87" spans="1:51">
      <c r="A87" s="1" t="s">
        <v>72</v>
      </c>
      <c r="B87" s="80">
        <v>40731</v>
      </c>
      <c r="C87" s="16" t="s">
        <v>200</v>
      </c>
      <c r="D87" s="106">
        <v>0</v>
      </c>
      <c r="E87" s="10">
        <f>5*0.025</f>
        <v>0.125</v>
      </c>
      <c r="F87" s="1" t="s">
        <v>199</v>
      </c>
      <c r="G87" s="120">
        <v>100</v>
      </c>
      <c r="H87" s="106">
        <f>11*0.025</f>
        <v>0.27500000000000002</v>
      </c>
      <c r="I87" s="10">
        <f>8*0.025</f>
        <v>0.2</v>
      </c>
      <c r="J87" s="1" t="s">
        <v>199</v>
      </c>
      <c r="K87" s="17">
        <v>100</v>
      </c>
      <c r="L87" s="106">
        <f>22*0.025</f>
        <v>0.55000000000000004</v>
      </c>
      <c r="M87" s="10">
        <f>8.5*0.025</f>
        <v>0.21250000000000002</v>
      </c>
      <c r="N87" s="1" t="s">
        <v>199</v>
      </c>
      <c r="O87" s="17">
        <v>100</v>
      </c>
      <c r="P87" s="42">
        <f>29*0.025</f>
        <v>0.72500000000000009</v>
      </c>
      <c r="Q87" s="7">
        <f>8*0.025</f>
        <v>0.2</v>
      </c>
      <c r="R87" s="1" t="s">
        <v>199</v>
      </c>
      <c r="S87" s="15">
        <v>100</v>
      </c>
      <c r="T87" s="42">
        <f>38*0.025</f>
        <v>0.95000000000000007</v>
      </c>
      <c r="U87" s="7">
        <v>0.05</v>
      </c>
      <c r="V87" s="7" t="s">
        <v>199</v>
      </c>
      <c r="W87" s="126">
        <v>100</v>
      </c>
      <c r="X87" s="13">
        <v>0</v>
      </c>
      <c r="Y87" s="1">
        <v>0</v>
      </c>
      <c r="Z87" s="17">
        <v>0</v>
      </c>
      <c r="AE87" s="42">
        <v>0</v>
      </c>
      <c r="AF87" s="7">
        <f>14*0.025</f>
        <v>0.35000000000000003</v>
      </c>
      <c r="AG87" s="7">
        <f>38*0.025</f>
        <v>0.95000000000000007</v>
      </c>
      <c r="AH87" s="7">
        <f>9*0.025</f>
        <v>0.22500000000000001</v>
      </c>
      <c r="AI87" s="48">
        <v>0.92</v>
      </c>
      <c r="AJ87" s="13">
        <f>65*0.025</f>
        <v>1.625</v>
      </c>
      <c r="AK87" s="120">
        <f>26*0.025</f>
        <v>0.65</v>
      </c>
      <c r="AL87" s="13" t="s">
        <v>201</v>
      </c>
      <c r="AM87" s="1" t="s">
        <v>201</v>
      </c>
      <c r="AN87" s="1" t="s">
        <v>201</v>
      </c>
      <c r="AO87" s="1" t="s">
        <v>201</v>
      </c>
      <c r="AP87" s="17" t="s">
        <v>201</v>
      </c>
      <c r="AQ87" s="17" t="s">
        <v>267</v>
      </c>
      <c r="AR87" s="17">
        <f>60*0.025</f>
        <v>1.5</v>
      </c>
      <c r="AS87" s="120">
        <f>36*0.025</f>
        <v>0.9</v>
      </c>
      <c r="AT87" s="120">
        <f>9*0.025</f>
        <v>0.22500000000000001</v>
      </c>
      <c r="AY87" s="1"/>
    </row>
    <row r="88" spans="1:51">
      <c r="A88" s="1" t="s">
        <v>72</v>
      </c>
      <c r="B88" s="80">
        <v>40731</v>
      </c>
      <c r="C88" s="16" t="s">
        <v>198</v>
      </c>
      <c r="D88" s="106">
        <v>0</v>
      </c>
      <c r="E88" s="10" t="s">
        <v>204</v>
      </c>
      <c r="F88" s="1" t="s">
        <v>201</v>
      </c>
      <c r="G88" s="120">
        <v>100</v>
      </c>
      <c r="H88" s="106">
        <f>6*0.025</f>
        <v>0.15000000000000002</v>
      </c>
      <c r="I88" s="10">
        <f>11.5*0.025</f>
        <v>0.28750000000000003</v>
      </c>
      <c r="J88" s="1" t="s">
        <v>201</v>
      </c>
      <c r="K88" s="17">
        <v>100</v>
      </c>
      <c r="L88" s="106">
        <f>12*0.025</f>
        <v>0.30000000000000004</v>
      </c>
      <c r="M88" s="10">
        <f>14*0.025</f>
        <v>0.35000000000000003</v>
      </c>
      <c r="N88" s="1" t="s">
        <v>201</v>
      </c>
      <c r="O88" s="17">
        <v>100</v>
      </c>
      <c r="P88" s="42">
        <f>20*0.025</f>
        <v>0.5</v>
      </c>
      <c r="Q88" s="7">
        <f>15*0.025</f>
        <v>0.375</v>
      </c>
      <c r="R88" s="1" t="s">
        <v>201</v>
      </c>
      <c r="S88" s="15">
        <v>100</v>
      </c>
      <c r="T88" s="42" t="s">
        <v>204</v>
      </c>
      <c r="U88" s="7" t="s">
        <v>204</v>
      </c>
      <c r="V88" s="7" t="s">
        <v>201</v>
      </c>
      <c r="W88" s="126">
        <v>100</v>
      </c>
      <c r="X88" s="13">
        <v>0</v>
      </c>
      <c r="Y88" s="1">
        <v>0</v>
      </c>
      <c r="Z88" s="17">
        <v>0</v>
      </c>
      <c r="AE88" s="42">
        <f>3*0.025</f>
        <v>7.5000000000000011E-2</v>
      </c>
      <c r="AF88" s="7">
        <v>0.08</v>
      </c>
      <c r="AG88" s="7">
        <f>25*0.025</f>
        <v>0.625</v>
      </c>
      <c r="AH88" s="7">
        <f>13*0.025</f>
        <v>0.32500000000000001</v>
      </c>
      <c r="AI88" s="48">
        <v>0.59</v>
      </c>
      <c r="AP88" s="17"/>
      <c r="AQ88" s="17"/>
      <c r="AR88" s="17"/>
      <c r="AS88" s="120"/>
      <c r="AT88" s="120"/>
      <c r="AY88" s="1"/>
    </row>
    <row r="89" spans="1:51">
      <c r="A89" s="1" t="s">
        <v>73</v>
      </c>
      <c r="B89" s="80">
        <v>40735</v>
      </c>
      <c r="C89" s="16" t="s">
        <v>220</v>
      </c>
      <c r="D89" s="106">
        <v>0</v>
      </c>
      <c r="E89" s="10">
        <v>0.14000000000000001</v>
      </c>
      <c r="F89" s="1" t="s">
        <v>210</v>
      </c>
      <c r="G89" s="120">
        <v>50</v>
      </c>
      <c r="H89" s="106">
        <v>0.25</v>
      </c>
      <c r="I89" s="10">
        <v>0.18</v>
      </c>
      <c r="J89" s="1" t="s">
        <v>210</v>
      </c>
      <c r="K89" s="17">
        <v>50</v>
      </c>
      <c r="L89" s="106">
        <v>0.5</v>
      </c>
      <c r="M89" s="10">
        <v>0.21</v>
      </c>
      <c r="N89" s="1" t="s">
        <v>210</v>
      </c>
      <c r="O89" s="17">
        <v>0</v>
      </c>
      <c r="P89" s="42">
        <v>0.75</v>
      </c>
      <c r="Q89" s="7">
        <v>0.17</v>
      </c>
      <c r="R89" s="1" t="s">
        <v>210</v>
      </c>
      <c r="S89" s="15">
        <v>0</v>
      </c>
      <c r="T89" s="42">
        <v>1</v>
      </c>
      <c r="U89" s="7">
        <v>0.14000000000000001</v>
      </c>
      <c r="V89" s="7" t="s">
        <v>210</v>
      </c>
      <c r="W89" s="126">
        <v>0</v>
      </c>
      <c r="X89" s="13">
        <v>0</v>
      </c>
      <c r="Y89" s="1">
        <v>1</v>
      </c>
      <c r="Z89" s="17">
        <v>2</v>
      </c>
      <c r="AE89" s="42">
        <v>0.11</v>
      </c>
      <c r="AF89" s="7">
        <v>0</v>
      </c>
      <c r="AG89" s="7">
        <v>1</v>
      </c>
      <c r="AH89" s="7">
        <v>0.23499999999999999</v>
      </c>
      <c r="AI89" s="48">
        <v>0.5</v>
      </c>
      <c r="AJ89" s="13">
        <v>0.09</v>
      </c>
      <c r="AK89" s="120">
        <v>1.79</v>
      </c>
      <c r="AL89" s="13" t="s">
        <v>210</v>
      </c>
      <c r="AM89" s="1" t="s">
        <v>210</v>
      </c>
      <c r="AN89" s="1" t="s">
        <v>210</v>
      </c>
      <c r="AO89" s="1" t="s">
        <v>210</v>
      </c>
      <c r="AP89" s="17" t="s">
        <v>210</v>
      </c>
      <c r="AQ89" s="17"/>
      <c r="AR89" s="17"/>
      <c r="AS89" s="120"/>
      <c r="AT89" s="120"/>
      <c r="AY89" s="1"/>
    </row>
    <row r="90" spans="1:51">
      <c r="A90" s="1" t="s">
        <v>73</v>
      </c>
      <c r="B90" s="80">
        <v>40735</v>
      </c>
      <c r="C90" s="16" t="s">
        <v>219</v>
      </c>
      <c r="D90" s="106">
        <v>0</v>
      </c>
      <c r="E90" s="10">
        <v>0.13</v>
      </c>
      <c r="F90" s="1" t="s">
        <v>210</v>
      </c>
      <c r="G90" s="120">
        <v>0</v>
      </c>
      <c r="H90" s="106">
        <v>0.255</v>
      </c>
      <c r="I90" s="10">
        <v>0.13</v>
      </c>
      <c r="J90" s="1" t="s">
        <v>210</v>
      </c>
      <c r="K90" s="17">
        <v>0</v>
      </c>
      <c r="L90" s="106">
        <v>0.51</v>
      </c>
      <c r="M90" s="10">
        <v>0.12</v>
      </c>
      <c r="N90" s="1" t="s">
        <v>210</v>
      </c>
      <c r="O90" s="17">
        <v>0</v>
      </c>
      <c r="P90" s="42">
        <v>0.755</v>
      </c>
      <c r="Q90" s="7">
        <v>0.05</v>
      </c>
      <c r="R90" s="1" t="s">
        <v>210</v>
      </c>
      <c r="S90" s="15">
        <v>0</v>
      </c>
      <c r="T90" s="42">
        <v>1.02</v>
      </c>
      <c r="U90" s="7">
        <v>0.03</v>
      </c>
      <c r="V90" s="7" t="s">
        <v>210</v>
      </c>
      <c r="W90" s="126">
        <v>0</v>
      </c>
      <c r="X90" s="13">
        <v>0</v>
      </c>
      <c r="Y90" s="1">
        <v>1</v>
      </c>
      <c r="Z90" s="17">
        <v>3</v>
      </c>
      <c r="AE90" s="42">
        <v>0.51</v>
      </c>
      <c r="AF90" s="7">
        <v>0</v>
      </c>
      <c r="AG90" s="7">
        <v>1.02</v>
      </c>
      <c r="AH90" s="7">
        <v>0.15</v>
      </c>
      <c r="AI90" s="48">
        <v>0.2</v>
      </c>
      <c r="AJ90" s="13">
        <v>0.1</v>
      </c>
      <c r="AK90" s="120">
        <v>1.0900000000000001</v>
      </c>
      <c r="AL90" s="13" t="s">
        <v>210</v>
      </c>
      <c r="AM90" s="1" t="s">
        <v>210</v>
      </c>
      <c r="AN90" s="1" t="s">
        <v>210</v>
      </c>
      <c r="AO90" s="1" t="s">
        <v>210</v>
      </c>
      <c r="AP90" s="17" t="s">
        <v>210</v>
      </c>
      <c r="AQ90" s="17"/>
      <c r="AR90" s="17"/>
      <c r="AS90" s="120"/>
      <c r="AT90" s="120"/>
      <c r="AY90" s="1"/>
    </row>
    <row r="91" spans="1:51">
      <c r="A91" s="1" t="s">
        <v>73</v>
      </c>
      <c r="B91" s="80">
        <v>40735</v>
      </c>
      <c r="C91" s="16" t="s">
        <v>208</v>
      </c>
      <c r="D91" s="106">
        <v>0</v>
      </c>
      <c r="E91" s="10">
        <v>0.04</v>
      </c>
      <c r="F91" s="1" t="s">
        <v>207</v>
      </c>
      <c r="G91" s="120">
        <v>0</v>
      </c>
      <c r="I91" s="10">
        <v>7.0000000000000007E-2</v>
      </c>
      <c r="J91" s="1" t="s">
        <v>207</v>
      </c>
      <c r="K91" s="17">
        <v>0</v>
      </c>
      <c r="L91" s="106">
        <v>0.63</v>
      </c>
      <c r="M91" s="10">
        <v>0.1</v>
      </c>
      <c r="N91" s="1" t="s">
        <v>210</v>
      </c>
      <c r="O91" s="17">
        <v>0</v>
      </c>
      <c r="Q91" s="7">
        <v>0.1</v>
      </c>
      <c r="R91" s="1" t="s">
        <v>210</v>
      </c>
      <c r="S91" s="15">
        <v>0</v>
      </c>
      <c r="T91" s="42">
        <v>1.26</v>
      </c>
      <c r="U91" s="7">
        <v>7.0000000000000007E-2</v>
      </c>
      <c r="V91" s="7" t="s">
        <v>210</v>
      </c>
      <c r="W91" s="126">
        <v>0</v>
      </c>
      <c r="X91" s="13">
        <v>0</v>
      </c>
      <c r="Y91" s="1">
        <v>0</v>
      </c>
      <c r="Z91" s="17">
        <v>1</v>
      </c>
      <c r="AE91" s="42">
        <v>0</v>
      </c>
      <c r="AF91" s="7">
        <v>0</v>
      </c>
      <c r="AG91" s="7">
        <v>1.26</v>
      </c>
      <c r="AH91" s="7">
        <v>0.1</v>
      </c>
      <c r="AI91" s="48">
        <v>0.6</v>
      </c>
      <c r="AJ91" s="13">
        <v>0.13</v>
      </c>
      <c r="AK91" s="120">
        <v>1.79</v>
      </c>
      <c r="AL91" s="13" t="s">
        <v>210</v>
      </c>
      <c r="AM91" s="1" t="s">
        <v>210</v>
      </c>
      <c r="AN91" s="1" t="s">
        <v>210</v>
      </c>
      <c r="AO91" s="1" t="s">
        <v>210</v>
      </c>
      <c r="AP91" s="17" t="s">
        <v>210</v>
      </c>
      <c r="AQ91" s="17"/>
      <c r="AR91" s="17"/>
      <c r="AS91" s="120"/>
      <c r="AT91" s="120"/>
      <c r="AY91" s="1"/>
    </row>
    <row r="92" spans="1:51">
      <c r="A92" s="1" t="s">
        <v>73</v>
      </c>
      <c r="B92" s="80">
        <v>40735</v>
      </c>
      <c r="C92" s="16" t="s">
        <v>217</v>
      </c>
      <c r="D92" s="106">
        <v>0</v>
      </c>
      <c r="E92" s="10">
        <v>0.11</v>
      </c>
      <c r="F92" s="1" t="s">
        <v>210</v>
      </c>
      <c r="G92" s="120">
        <v>0</v>
      </c>
      <c r="I92" s="10">
        <v>0.13</v>
      </c>
      <c r="J92" s="1" t="s">
        <v>210</v>
      </c>
      <c r="K92" s="17">
        <v>0</v>
      </c>
      <c r="L92" s="106">
        <v>0.48</v>
      </c>
      <c r="M92" s="10">
        <v>0.2</v>
      </c>
      <c r="N92" s="1" t="s">
        <v>210</v>
      </c>
      <c r="O92" s="17">
        <v>0</v>
      </c>
      <c r="Q92" s="7">
        <v>0.13</v>
      </c>
      <c r="R92" s="1" t="s">
        <v>210</v>
      </c>
      <c r="S92" s="15">
        <v>0</v>
      </c>
      <c r="T92" s="42">
        <v>0.96</v>
      </c>
      <c r="U92" s="7">
        <v>0.23</v>
      </c>
      <c r="V92" s="7" t="s">
        <v>210</v>
      </c>
      <c r="W92" s="126">
        <v>0</v>
      </c>
      <c r="X92" s="13">
        <v>0</v>
      </c>
      <c r="Y92" s="1">
        <v>0</v>
      </c>
      <c r="Z92" s="17">
        <v>2</v>
      </c>
      <c r="AE92" s="42">
        <v>0.14000000000000001</v>
      </c>
      <c r="AF92" s="7">
        <v>0.25</v>
      </c>
      <c r="AG92" s="7">
        <v>0.96</v>
      </c>
      <c r="AH92" s="7">
        <v>0.22</v>
      </c>
      <c r="AI92" s="48">
        <v>0.32</v>
      </c>
      <c r="AJ92" s="13">
        <v>2</v>
      </c>
      <c r="AK92" s="120">
        <v>0.56000000000000005</v>
      </c>
      <c r="AL92" s="13" t="s">
        <v>210</v>
      </c>
      <c r="AM92" s="1" t="s">
        <v>210</v>
      </c>
      <c r="AN92" s="1" t="s">
        <v>210</v>
      </c>
      <c r="AO92" s="1" t="s">
        <v>210</v>
      </c>
      <c r="AP92" s="17" t="s">
        <v>210</v>
      </c>
      <c r="AQ92" s="17" t="s">
        <v>242</v>
      </c>
      <c r="AR92" s="17">
        <v>2.5</v>
      </c>
      <c r="AS92" s="120">
        <v>1.5</v>
      </c>
      <c r="AT92" s="120">
        <v>0.13</v>
      </c>
      <c r="AY92" s="1"/>
    </row>
    <row r="93" spans="1:51">
      <c r="A93" s="1" t="s">
        <v>73</v>
      </c>
      <c r="B93" s="80">
        <v>40735</v>
      </c>
      <c r="C93" s="16" t="s">
        <v>203</v>
      </c>
      <c r="D93" s="106">
        <v>0</v>
      </c>
      <c r="E93" s="10">
        <v>0.01</v>
      </c>
      <c r="F93" s="1" t="s">
        <v>201</v>
      </c>
      <c r="G93" s="120">
        <v>100</v>
      </c>
      <c r="I93" s="10">
        <v>0.16</v>
      </c>
      <c r="J93" s="1" t="s">
        <v>201</v>
      </c>
      <c r="K93" s="17">
        <v>100</v>
      </c>
      <c r="L93" s="106">
        <v>0.62</v>
      </c>
      <c r="M93" s="10">
        <v>0.26</v>
      </c>
      <c r="N93" s="1" t="s">
        <v>207</v>
      </c>
      <c r="O93" s="17">
        <v>0</v>
      </c>
      <c r="Q93" s="7">
        <v>0.23</v>
      </c>
      <c r="R93" s="1" t="s">
        <v>269</v>
      </c>
      <c r="S93" s="15">
        <v>1</v>
      </c>
      <c r="T93" s="42">
        <v>1.24</v>
      </c>
      <c r="U93" s="7">
        <v>0.06</v>
      </c>
      <c r="V93" s="7" t="s">
        <v>202</v>
      </c>
      <c r="X93" s="13">
        <v>0</v>
      </c>
      <c r="Y93" s="1">
        <v>1</v>
      </c>
      <c r="Z93" s="17">
        <v>0</v>
      </c>
      <c r="AE93" s="42">
        <v>0</v>
      </c>
      <c r="AF93" s="7">
        <v>0</v>
      </c>
      <c r="AG93" s="7">
        <v>1.24</v>
      </c>
      <c r="AH93" s="7">
        <v>0.26</v>
      </c>
      <c r="AI93" s="48">
        <v>0.15</v>
      </c>
      <c r="AJ93" s="13">
        <v>0.34</v>
      </c>
      <c r="AK93" s="120">
        <v>2.34</v>
      </c>
      <c r="AL93" s="13" t="s">
        <v>201</v>
      </c>
      <c r="AM93" s="1" t="s">
        <v>201</v>
      </c>
      <c r="AN93" s="1" t="s">
        <v>210</v>
      </c>
      <c r="AO93" s="1" t="s">
        <v>201</v>
      </c>
      <c r="AP93" s="17" t="s">
        <v>201</v>
      </c>
      <c r="AQ93" s="17"/>
      <c r="AR93" s="17"/>
      <c r="AS93" s="120"/>
      <c r="AT93" s="120"/>
      <c r="AY93" s="1"/>
    </row>
    <row r="94" spans="1:51">
      <c r="A94" s="1" t="s">
        <v>73</v>
      </c>
      <c r="B94" s="80">
        <v>40735</v>
      </c>
      <c r="C94" s="16" t="s">
        <v>200</v>
      </c>
      <c r="D94" s="106">
        <v>0</v>
      </c>
      <c r="E94" s="10">
        <v>0.06</v>
      </c>
      <c r="F94" s="1" t="s">
        <v>210</v>
      </c>
      <c r="G94" s="120">
        <v>0</v>
      </c>
      <c r="I94" s="10">
        <v>0.06</v>
      </c>
      <c r="J94" s="1" t="s">
        <v>210</v>
      </c>
      <c r="K94" s="17">
        <v>0</v>
      </c>
      <c r="L94" s="106">
        <v>0.54</v>
      </c>
      <c r="M94" s="10">
        <v>0.08</v>
      </c>
      <c r="N94" s="1" t="s">
        <v>210</v>
      </c>
      <c r="O94" s="17">
        <v>0</v>
      </c>
      <c r="Q94" s="7">
        <v>0.1</v>
      </c>
      <c r="R94" s="1" t="s">
        <v>210</v>
      </c>
      <c r="S94" s="15">
        <v>0</v>
      </c>
      <c r="T94" s="42">
        <v>5</v>
      </c>
      <c r="U94" s="7">
        <v>0.34</v>
      </c>
      <c r="V94" s="7" t="s">
        <v>207</v>
      </c>
      <c r="W94" s="126">
        <v>0</v>
      </c>
      <c r="X94" s="13">
        <v>0</v>
      </c>
      <c r="Y94" s="1">
        <v>0</v>
      </c>
      <c r="Z94" s="17">
        <v>2</v>
      </c>
      <c r="AE94" s="42">
        <v>0</v>
      </c>
      <c r="AF94" s="7">
        <v>0.15</v>
      </c>
      <c r="AG94" s="7">
        <v>1.18</v>
      </c>
      <c r="AH94" s="7">
        <v>0.13</v>
      </c>
      <c r="AI94" s="48">
        <v>0.36</v>
      </c>
      <c r="AJ94" s="13">
        <v>0.11</v>
      </c>
      <c r="AK94" s="120">
        <v>0.78</v>
      </c>
      <c r="AL94" s="13" t="s">
        <v>210</v>
      </c>
      <c r="AM94" s="1" t="s">
        <v>210</v>
      </c>
      <c r="AN94" s="1" t="s">
        <v>228</v>
      </c>
      <c r="AO94" s="1" t="s">
        <v>210</v>
      </c>
      <c r="AP94" s="17" t="s">
        <v>210</v>
      </c>
      <c r="AQ94" s="17" t="s">
        <v>245</v>
      </c>
      <c r="AR94" s="17">
        <v>3.2</v>
      </c>
      <c r="AS94" s="120">
        <v>0.36</v>
      </c>
      <c r="AT94" s="120">
        <v>0.05</v>
      </c>
      <c r="AY94" s="1"/>
    </row>
    <row r="95" spans="1:51">
      <c r="A95" s="1" t="s">
        <v>73</v>
      </c>
      <c r="B95" s="80">
        <v>40735</v>
      </c>
      <c r="C95" s="16" t="s">
        <v>198</v>
      </c>
      <c r="D95" s="106">
        <v>0</v>
      </c>
      <c r="E95" s="10">
        <v>0.09</v>
      </c>
      <c r="F95" s="1" t="s">
        <v>201</v>
      </c>
      <c r="G95" s="120">
        <v>100</v>
      </c>
      <c r="I95" s="10">
        <v>0.09</v>
      </c>
      <c r="J95" s="1" t="s">
        <v>201</v>
      </c>
      <c r="K95" s="17">
        <v>100</v>
      </c>
      <c r="L95" s="106">
        <v>0.53</v>
      </c>
      <c r="M95" s="10">
        <v>0.1</v>
      </c>
      <c r="N95" s="1" t="s">
        <v>207</v>
      </c>
      <c r="O95" s="17">
        <v>0</v>
      </c>
      <c r="Q95" s="7">
        <v>0.12</v>
      </c>
      <c r="R95" s="1" t="s">
        <v>207</v>
      </c>
      <c r="S95" s="15">
        <v>0</v>
      </c>
      <c r="T95" s="42">
        <v>1.6</v>
      </c>
      <c r="U95" s="7">
        <v>0.1</v>
      </c>
      <c r="V95" s="7" t="s">
        <v>201</v>
      </c>
      <c r="W95" s="126">
        <v>100</v>
      </c>
      <c r="X95" s="13">
        <v>0</v>
      </c>
      <c r="Y95" s="1">
        <v>0</v>
      </c>
      <c r="Z95" s="17">
        <v>2</v>
      </c>
      <c r="AE95" s="42">
        <v>0.06</v>
      </c>
      <c r="AF95" s="7">
        <v>0</v>
      </c>
      <c r="AG95" s="7">
        <v>1.06</v>
      </c>
      <c r="AH95" s="7">
        <v>0.13</v>
      </c>
      <c r="AI95" s="48">
        <v>0.4</v>
      </c>
      <c r="AJ95" s="13">
        <v>0.25</v>
      </c>
      <c r="AK95" s="120">
        <v>1.42</v>
      </c>
      <c r="AL95" s="13" t="s">
        <v>228</v>
      </c>
      <c r="AM95" s="1" t="s">
        <v>228</v>
      </c>
      <c r="AN95" s="1" t="s">
        <v>228</v>
      </c>
      <c r="AO95" s="1" t="s">
        <v>201</v>
      </c>
      <c r="AP95" s="17" t="s">
        <v>201</v>
      </c>
      <c r="AQ95" s="17"/>
      <c r="AR95" s="17"/>
      <c r="AS95" s="120"/>
      <c r="AT95" s="120"/>
      <c r="AY95" s="1"/>
    </row>
    <row r="96" spans="1:51">
      <c r="A96" s="1" t="s">
        <v>74</v>
      </c>
      <c r="B96" s="80">
        <v>40735</v>
      </c>
      <c r="C96" s="16" t="s">
        <v>220</v>
      </c>
      <c r="D96" s="106">
        <v>0</v>
      </c>
      <c r="E96" s="10">
        <v>0.1</v>
      </c>
      <c r="F96" s="1" t="s">
        <v>210</v>
      </c>
      <c r="G96" s="120">
        <v>50</v>
      </c>
      <c r="H96" s="106">
        <v>0.35</v>
      </c>
      <c r="I96" s="10">
        <v>0.32</v>
      </c>
      <c r="J96" s="1" t="s">
        <v>207</v>
      </c>
      <c r="K96" s="17">
        <v>80</v>
      </c>
      <c r="L96" s="106">
        <v>0.65</v>
      </c>
      <c r="M96" s="10">
        <v>0.2</v>
      </c>
      <c r="N96" s="1" t="s">
        <v>210</v>
      </c>
      <c r="O96" s="17">
        <v>30</v>
      </c>
      <c r="P96" s="42">
        <v>0.93</v>
      </c>
      <c r="Q96" s="7">
        <v>0.53</v>
      </c>
      <c r="R96" s="1" t="s">
        <v>210</v>
      </c>
      <c r="S96" s="15">
        <v>50</v>
      </c>
      <c r="T96" s="42">
        <v>1.1499999999999999</v>
      </c>
      <c r="U96" s="7">
        <v>0.34</v>
      </c>
      <c r="V96" s="7" t="s">
        <v>210</v>
      </c>
      <c r="W96" s="126">
        <v>50</v>
      </c>
      <c r="X96" s="13">
        <v>0</v>
      </c>
      <c r="Y96" s="1">
        <v>2</v>
      </c>
      <c r="Z96" s="17">
        <v>1</v>
      </c>
      <c r="AE96" s="42">
        <v>0.27</v>
      </c>
      <c r="AF96" s="7">
        <v>0.1</v>
      </c>
      <c r="AG96" s="7">
        <v>1.1499999999999999</v>
      </c>
      <c r="AH96" s="7">
        <v>0.32</v>
      </c>
      <c r="AI96" s="48">
        <v>0.22</v>
      </c>
      <c r="AJ96" s="13">
        <v>0.25</v>
      </c>
      <c r="AK96" s="120">
        <v>0.92</v>
      </c>
      <c r="AL96" s="13" t="s">
        <v>199</v>
      </c>
      <c r="AM96" s="1" t="s">
        <v>199</v>
      </c>
      <c r="AN96" s="1" t="s">
        <v>210</v>
      </c>
      <c r="AO96" s="1" t="s">
        <v>210</v>
      </c>
      <c r="AP96" s="17" t="s">
        <v>225</v>
      </c>
      <c r="AQ96" s="17" t="s">
        <v>233</v>
      </c>
      <c r="AR96" s="17">
        <v>0.65</v>
      </c>
      <c r="AS96" s="120">
        <v>0.4</v>
      </c>
      <c r="AT96" s="120">
        <v>0.2</v>
      </c>
      <c r="AY96" s="1"/>
    </row>
    <row r="97" spans="1:51">
      <c r="A97" s="1" t="s">
        <v>74</v>
      </c>
      <c r="B97" s="80">
        <v>40735</v>
      </c>
      <c r="C97" s="16" t="s">
        <v>220</v>
      </c>
      <c r="AP97" s="17"/>
      <c r="AQ97" s="17" t="s">
        <v>233</v>
      </c>
      <c r="AR97" s="17">
        <v>1.6</v>
      </c>
      <c r="AS97" s="120">
        <v>0.5</v>
      </c>
      <c r="AT97" s="120">
        <v>7.0000000000000007E-2</v>
      </c>
      <c r="AY97" s="1"/>
    </row>
    <row r="98" spans="1:51">
      <c r="A98" s="1" t="s">
        <v>74</v>
      </c>
      <c r="B98" s="80">
        <v>40735</v>
      </c>
      <c r="C98" s="16" t="s">
        <v>220</v>
      </c>
      <c r="AP98" s="17"/>
      <c r="AQ98" s="17" t="s">
        <v>233</v>
      </c>
      <c r="AR98" s="17">
        <v>2</v>
      </c>
      <c r="AS98" s="120">
        <v>0.2</v>
      </c>
      <c r="AT98" s="120">
        <v>0.05</v>
      </c>
      <c r="AY98" s="1"/>
    </row>
    <row r="99" spans="1:51">
      <c r="A99" s="1" t="s">
        <v>74</v>
      </c>
      <c r="B99" s="80">
        <v>40735</v>
      </c>
      <c r="C99" s="16" t="s">
        <v>220</v>
      </c>
      <c r="AP99" s="17"/>
      <c r="AQ99" s="17" t="s">
        <v>233</v>
      </c>
      <c r="AR99" s="17">
        <v>1</v>
      </c>
      <c r="AS99" s="120">
        <v>0.4</v>
      </c>
      <c r="AT99" s="120">
        <v>0.16</v>
      </c>
      <c r="AY99" s="1"/>
    </row>
    <row r="100" spans="1:51">
      <c r="A100" s="1" t="s">
        <v>74</v>
      </c>
      <c r="B100" s="80">
        <v>40735</v>
      </c>
      <c r="C100" s="16" t="s">
        <v>219</v>
      </c>
      <c r="D100" s="106">
        <v>0</v>
      </c>
      <c r="E100" s="10">
        <v>0.02</v>
      </c>
      <c r="F100" s="1" t="s">
        <v>201</v>
      </c>
      <c r="G100" s="120">
        <v>100</v>
      </c>
      <c r="H100" s="106">
        <v>0.15</v>
      </c>
      <c r="I100" s="10">
        <v>0.22</v>
      </c>
      <c r="J100" s="1" t="s">
        <v>272</v>
      </c>
      <c r="K100" s="17">
        <v>70</v>
      </c>
      <c r="L100" s="106">
        <v>0.32</v>
      </c>
      <c r="M100" s="10">
        <v>0.22</v>
      </c>
      <c r="N100" s="1" t="s">
        <v>210</v>
      </c>
      <c r="O100" s="17">
        <v>50</v>
      </c>
      <c r="P100" s="42">
        <v>0.45</v>
      </c>
      <c r="Q100" s="7">
        <v>0.23</v>
      </c>
      <c r="R100" s="1" t="s">
        <v>207</v>
      </c>
      <c r="S100" s="15">
        <v>70</v>
      </c>
      <c r="T100" s="42">
        <v>0.65</v>
      </c>
      <c r="U100" s="7">
        <v>0.04</v>
      </c>
      <c r="V100" s="7" t="s">
        <v>201</v>
      </c>
      <c r="W100" s="126">
        <v>100</v>
      </c>
      <c r="X100" s="13">
        <v>0</v>
      </c>
      <c r="Y100" s="1">
        <v>2</v>
      </c>
      <c r="Z100" s="17">
        <v>2</v>
      </c>
      <c r="AE100" s="42">
        <v>0.4</v>
      </c>
      <c r="AF100" s="7">
        <v>0</v>
      </c>
      <c r="AG100" s="7">
        <v>0.65</v>
      </c>
      <c r="AH100" s="7">
        <v>0.23</v>
      </c>
      <c r="AI100" s="48">
        <v>0.37</v>
      </c>
      <c r="AJ100" s="13">
        <v>1.3</v>
      </c>
      <c r="AK100" s="120">
        <v>0.23</v>
      </c>
      <c r="AL100" s="13" t="s">
        <v>201</v>
      </c>
      <c r="AM100" s="1" t="s">
        <v>201</v>
      </c>
      <c r="AN100" s="1" t="s">
        <v>201</v>
      </c>
      <c r="AO100" s="1" t="s">
        <v>201</v>
      </c>
      <c r="AP100" s="17" t="s">
        <v>201</v>
      </c>
      <c r="AQ100" s="17" t="s">
        <v>244</v>
      </c>
      <c r="AR100" s="17">
        <v>1.2</v>
      </c>
      <c r="AS100" s="120">
        <v>0.65</v>
      </c>
      <c r="AT100" s="120">
        <v>0.15</v>
      </c>
      <c r="AY100" s="1"/>
    </row>
    <row r="101" spans="1:51">
      <c r="A101" s="1" t="s">
        <v>74</v>
      </c>
      <c r="B101" s="80">
        <v>40735</v>
      </c>
      <c r="C101" s="16" t="s">
        <v>219</v>
      </c>
      <c r="AP101" s="17"/>
      <c r="AQ101" s="17" t="s">
        <v>244</v>
      </c>
      <c r="AR101" s="17">
        <v>1.3</v>
      </c>
      <c r="AS101" s="120">
        <v>0.5</v>
      </c>
      <c r="AT101" s="120">
        <v>0.25</v>
      </c>
      <c r="AY101" s="1"/>
    </row>
    <row r="102" spans="1:51">
      <c r="A102" s="1" t="s">
        <v>74</v>
      </c>
      <c r="B102" s="80">
        <v>40735</v>
      </c>
      <c r="C102" s="16" t="s">
        <v>219</v>
      </c>
      <c r="AP102" s="17"/>
      <c r="AQ102" s="17" t="s">
        <v>244</v>
      </c>
      <c r="AR102" s="17">
        <v>1.3</v>
      </c>
      <c r="AS102" s="120">
        <v>0.35</v>
      </c>
      <c r="AT102" s="120">
        <v>0.08</v>
      </c>
      <c r="AY102" s="1"/>
    </row>
    <row r="103" spans="1:51">
      <c r="A103" s="1" t="s">
        <v>74</v>
      </c>
      <c r="B103" s="80">
        <v>40735</v>
      </c>
      <c r="C103" s="16" t="s">
        <v>208</v>
      </c>
      <c r="D103" s="106">
        <v>0</v>
      </c>
      <c r="E103" s="10">
        <v>0.04</v>
      </c>
      <c r="F103" s="1" t="s">
        <v>199</v>
      </c>
      <c r="G103" s="120">
        <v>100</v>
      </c>
      <c r="H103" s="106">
        <v>0.5</v>
      </c>
      <c r="I103" s="10">
        <v>0.27</v>
      </c>
      <c r="J103" s="1" t="s">
        <v>199</v>
      </c>
      <c r="K103" s="17">
        <v>100</v>
      </c>
      <c r="L103" s="106">
        <v>1.1000000000000001</v>
      </c>
      <c r="M103" s="10">
        <v>0.48</v>
      </c>
      <c r="N103" s="1" t="s">
        <v>199</v>
      </c>
      <c r="O103" s="17">
        <v>100</v>
      </c>
      <c r="P103" s="42">
        <v>1.7</v>
      </c>
      <c r="Q103" s="7">
        <v>0.34</v>
      </c>
      <c r="R103" s="1" t="s">
        <v>201</v>
      </c>
      <c r="S103" s="15">
        <v>100</v>
      </c>
      <c r="T103" s="42">
        <v>2.2000000000000002</v>
      </c>
      <c r="U103" s="7" t="s">
        <v>204</v>
      </c>
      <c r="V103" s="7" t="s">
        <v>201</v>
      </c>
      <c r="W103" s="126">
        <v>100</v>
      </c>
      <c r="X103" s="13">
        <v>0</v>
      </c>
      <c r="Y103" s="1">
        <v>0</v>
      </c>
      <c r="Z103" s="17">
        <v>3</v>
      </c>
      <c r="AE103" s="42">
        <v>0.2</v>
      </c>
      <c r="AF103" s="7">
        <v>0.63</v>
      </c>
      <c r="AG103" s="7">
        <v>2.2000000000000002</v>
      </c>
      <c r="AH103" s="7">
        <v>0.49</v>
      </c>
      <c r="AI103" s="48">
        <v>0.15</v>
      </c>
      <c r="AJ103" s="13">
        <v>0.24</v>
      </c>
      <c r="AK103" s="120">
        <v>1.07</v>
      </c>
      <c r="AL103" s="13" t="s">
        <v>201</v>
      </c>
      <c r="AM103" s="1" t="s">
        <v>201</v>
      </c>
      <c r="AN103" s="1" t="s">
        <v>201</v>
      </c>
      <c r="AO103" s="1" t="s">
        <v>201</v>
      </c>
      <c r="AP103" s="17" t="s">
        <v>201</v>
      </c>
      <c r="AQ103" s="17" t="s">
        <v>218</v>
      </c>
      <c r="AR103" s="17">
        <v>1</v>
      </c>
      <c r="AS103" s="120">
        <v>0.45</v>
      </c>
      <c r="AT103" s="120">
        <v>0.28000000000000003</v>
      </c>
      <c r="AY103" s="1"/>
    </row>
    <row r="104" spans="1:51">
      <c r="A104" s="1" t="s">
        <v>74</v>
      </c>
      <c r="B104" s="80">
        <v>40735</v>
      </c>
      <c r="C104" s="16" t="s">
        <v>208</v>
      </c>
      <c r="AP104" s="17"/>
      <c r="AQ104" s="17" t="s">
        <v>218</v>
      </c>
      <c r="AR104" s="17">
        <v>0.75</v>
      </c>
      <c r="AS104" s="120">
        <v>0.33</v>
      </c>
      <c r="AT104" s="120">
        <v>0.17</v>
      </c>
      <c r="AY104" s="1"/>
    </row>
    <row r="105" spans="1:51">
      <c r="A105" s="1" t="s">
        <v>74</v>
      </c>
      <c r="B105" s="80">
        <v>40735</v>
      </c>
      <c r="C105" s="16" t="s">
        <v>208</v>
      </c>
      <c r="AP105" s="17"/>
      <c r="AQ105" s="17" t="s">
        <v>218</v>
      </c>
      <c r="AR105" s="17">
        <v>3</v>
      </c>
      <c r="AS105" s="120">
        <v>0.5</v>
      </c>
      <c r="AT105" s="120">
        <v>0.22</v>
      </c>
      <c r="AY105" s="1"/>
    </row>
    <row r="106" spans="1:51">
      <c r="A106" s="1" t="s">
        <v>74</v>
      </c>
      <c r="B106" s="80">
        <v>40735</v>
      </c>
      <c r="C106" s="16" t="s">
        <v>217</v>
      </c>
      <c r="D106" s="106">
        <v>0</v>
      </c>
      <c r="E106" s="10">
        <v>0.02</v>
      </c>
      <c r="F106" s="1" t="s">
        <v>201</v>
      </c>
      <c r="G106" s="120">
        <v>100</v>
      </c>
      <c r="H106" s="106">
        <v>0.15</v>
      </c>
      <c r="I106" s="10">
        <v>0.09</v>
      </c>
      <c r="J106" s="1" t="s">
        <v>201</v>
      </c>
      <c r="K106" s="17">
        <v>100</v>
      </c>
      <c r="L106" s="106">
        <v>0.33</v>
      </c>
      <c r="M106" s="10">
        <v>0.13</v>
      </c>
      <c r="N106" s="1" t="s">
        <v>201</v>
      </c>
      <c r="O106" s="17">
        <v>100</v>
      </c>
      <c r="P106" s="42">
        <v>0.45</v>
      </c>
      <c r="Q106" s="7">
        <v>0.19</v>
      </c>
      <c r="R106" s="1" t="s">
        <v>201</v>
      </c>
      <c r="S106" s="15">
        <v>100</v>
      </c>
      <c r="T106" s="42">
        <v>0.66</v>
      </c>
      <c r="U106" s="7">
        <v>0.03</v>
      </c>
      <c r="V106" s="7" t="s">
        <v>201</v>
      </c>
      <c r="W106" s="126">
        <v>100</v>
      </c>
      <c r="X106" s="13">
        <v>0</v>
      </c>
      <c r="Y106" s="1">
        <v>0</v>
      </c>
      <c r="Z106" s="17">
        <v>2</v>
      </c>
      <c r="AE106" s="42">
        <v>0</v>
      </c>
      <c r="AF106" s="7">
        <v>0</v>
      </c>
      <c r="AG106" s="7">
        <v>0.66</v>
      </c>
      <c r="AH106" s="7">
        <v>0.13</v>
      </c>
      <c r="AI106" s="48">
        <v>0.85</v>
      </c>
      <c r="AJ106" s="13">
        <v>1.5</v>
      </c>
      <c r="AK106" s="120">
        <v>0.2</v>
      </c>
      <c r="AL106" s="13" t="s">
        <v>199</v>
      </c>
      <c r="AM106" s="1" t="s">
        <v>199</v>
      </c>
      <c r="AN106" s="1" t="s">
        <v>199</v>
      </c>
      <c r="AO106" s="1" t="s">
        <v>199</v>
      </c>
      <c r="AP106" s="17" t="s">
        <v>202</v>
      </c>
      <c r="AQ106" s="17" t="s">
        <v>242</v>
      </c>
      <c r="AR106" s="17">
        <v>1.25</v>
      </c>
      <c r="AS106" s="120">
        <v>0.3</v>
      </c>
      <c r="AT106" s="120">
        <v>0.38</v>
      </c>
      <c r="AY106" s="1"/>
    </row>
    <row r="107" spans="1:51">
      <c r="A107" s="1" t="s">
        <v>74</v>
      </c>
      <c r="B107" s="80">
        <v>40735</v>
      </c>
      <c r="C107" s="16" t="s">
        <v>217</v>
      </c>
      <c r="AP107" s="17"/>
      <c r="AQ107" s="17" t="s">
        <v>242</v>
      </c>
      <c r="AR107" s="17">
        <v>1.3</v>
      </c>
      <c r="AS107" s="120">
        <v>0.8</v>
      </c>
      <c r="AT107" s="120">
        <v>0.61</v>
      </c>
      <c r="AY107" s="1"/>
    </row>
    <row r="108" spans="1:51">
      <c r="A108" s="1" t="s">
        <v>74</v>
      </c>
      <c r="B108" s="80">
        <v>40735</v>
      </c>
      <c r="C108" s="16" t="s">
        <v>217</v>
      </c>
      <c r="AP108" s="17"/>
      <c r="AQ108" s="17" t="s">
        <v>242</v>
      </c>
      <c r="AR108" s="17">
        <v>0.75</v>
      </c>
      <c r="AS108" s="120">
        <v>0.6</v>
      </c>
      <c r="AT108" s="120">
        <v>0.25</v>
      </c>
      <c r="AY108" s="1" t="s">
        <v>273</v>
      </c>
    </row>
    <row r="109" spans="1:51">
      <c r="A109" s="1" t="s">
        <v>74</v>
      </c>
      <c r="B109" s="80">
        <v>40735</v>
      </c>
      <c r="C109" s="16" t="s">
        <v>203</v>
      </c>
      <c r="D109" s="106">
        <v>0</v>
      </c>
      <c r="E109" s="10">
        <v>0.5</v>
      </c>
      <c r="F109" s="1" t="s">
        <v>199</v>
      </c>
      <c r="G109" s="120">
        <v>100</v>
      </c>
      <c r="H109" s="106">
        <v>0.35</v>
      </c>
      <c r="I109" s="10">
        <v>0.54</v>
      </c>
      <c r="J109" s="1" t="s">
        <v>207</v>
      </c>
      <c r="K109" s="17">
        <v>75</v>
      </c>
      <c r="L109" s="106">
        <v>0.7</v>
      </c>
      <c r="M109" s="10">
        <v>0.47</v>
      </c>
      <c r="N109" s="1" t="s">
        <v>207</v>
      </c>
      <c r="O109" s="17">
        <v>75</v>
      </c>
      <c r="P109" s="42">
        <v>1.1499999999999999</v>
      </c>
      <c r="Q109" s="7" t="s">
        <v>274</v>
      </c>
      <c r="R109" s="1" t="s">
        <v>201</v>
      </c>
      <c r="S109" s="15">
        <v>100</v>
      </c>
      <c r="T109" s="42">
        <v>1.4</v>
      </c>
      <c r="U109" s="7">
        <v>0.14000000000000001</v>
      </c>
      <c r="V109" s="7" t="s">
        <v>201</v>
      </c>
      <c r="W109" s="126">
        <v>100</v>
      </c>
      <c r="X109" s="13">
        <v>0</v>
      </c>
      <c r="Y109" s="1">
        <v>0</v>
      </c>
      <c r="Z109" s="17">
        <v>2</v>
      </c>
      <c r="AE109" s="42">
        <v>0.18</v>
      </c>
      <c r="AF109" s="7">
        <v>0</v>
      </c>
      <c r="AG109" s="7">
        <v>1.4</v>
      </c>
      <c r="AH109" s="7">
        <v>0.46</v>
      </c>
      <c r="AI109" s="48">
        <v>7.0000000000000007E-2</v>
      </c>
      <c r="AJ109" s="13">
        <v>1</v>
      </c>
      <c r="AK109" s="120">
        <v>0.5</v>
      </c>
      <c r="AL109" s="13" t="s">
        <v>201</v>
      </c>
      <c r="AM109" s="1" t="s">
        <v>201</v>
      </c>
      <c r="AN109" s="1" t="s">
        <v>201</v>
      </c>
      <c r="AO109" s="1" t="s">
        <v>201</v>
      </c>
      <c r="AP109" s="17" t="s">
        <v>201</v>
      </c>
      <c r="AQ109" s="17" t="s">
        <v>267</v>
      </c>
      <c r="AR109" s="17">
        <v>0.35</v>
      </c>
      <c r="AS109" s="120">
        <v>0.5</v>
      </c>
      <c r="AT109" s="120">
        <v>0.2</v>
      </c>
      <c r="AY109" s="1"/>
    </row>
    <row r="110" spans="1:51">
      <c r="A110" s="1" t="s">
        <v>74</v>
      </c>
      <c r="B110" s="80">
        <v>40735</v>
      </c>
      <c r="C110" s="16" t="s">
        <v>203</v>
      </c>
      <c r="AP110" s="17"/>
      <c r="AQ110" s="17" t="s">
        <v>267</v>
      </c>
      <c r="AR110" s="17">
        <v>0.6</v>
      </c>
      <c r="AS110" s="120">
        <v>0.5</v>
      </c>
      <c r="AT110" s="120">
        <v>0.09</v>
      </c>
      <c r="AY110" s="1"/>
    </row>
    <row r="111" spans="1:51">
      <c r="A111" s="1" t="s">
        <v>74</v>
      </c>
      <c r="B111" s="80">
        <v>40735</v>
      </c>
      <c r="C111" s="16" t="s">
        <v>203</v>
      </c>
      <c r="AP111" s="17"/>
      <c r="AQ111" s="17" t="s">
        <v>267</v>
      </c>
      <c r="AR111" s="17">
        <v>1.2</v>
      </c>
      <c r="AS111" s="120">
        <v>0.5</v>
      </c>
      <c r="AT111" s="120">
        <v>0.2</v>
      </c>
      <c r="AY111" s="1" t="s">
        <v>275</v>
      </c>
    </row>
    <row r="112" spans="1:51">
      <c r="A112" s="1" t="s">
        <v>74</v>
      </c>
      <c r="B112" s="80">
        <v>40735</v>
      </c>
      <c r="C112" s="16" t="s">
        <v>200</v>
      </c>
      <c r="D112" s="106">
        <v>0</v>
      </c>
      <c r="E112" s="10">
        <v>0.42</v>
      </c>
      <c r="F112" s="1" t="s">
        <v>225</v>
      </c>
      <c r="G112" s="120">
        <v>40</v>
      </c>
      <c r="H112" s="106">
        <v>0.25</v>
      </c>
      <c r="I112" s="10">
        <v>0.41</v>
      </c>
      <c r="J112" s="1" t="s">
        <v>225</v>
      </c>
      <c r="K112" s="17">
        <v>40</v>
      </c>
      <c r="L112" s="106">
        <v>0.55000000000000004</v>
      </c>
      <c r="M112" s="10">
        <v>0.49</v>
      </c>
      <c r="N112" s="1" t="s">
        <v>225</v>
      </c>
      <c r="O112" s="17">
        <v>40</v>
      </c>
      <c r="P112" s="42">
        <v>0.8</v>
      </c>
      <c r="Q112" s="7">
        <v>0.37</v>
      </c>
      <c r="R112" s="1" t="s">
        <v>201</v>
      </c>
      <c r="S112" s="15">
        <v>100</v>
      </c>
      <c r="T112" s="42">
        <v>1.1000000000000001</v>
      </c>
      <c r="U112" s="7" t="s">
        <v>204</v>
      </c>
      <c r="V112" s="7" t="s">
        <v>201</v>
      </c>
      <c r="W112" s="126">
        <v>100</v>
      </c>
      <c r="X112" s="13">
        <v>0</v>
      </c>
      <c r="Y112" s="1">
        <v>3</v>
      </c>
      <c r="Z112" s="17">
        <v>4</v>
      </c>
      <c r="AE112" s="42">
        <v>0.15</v>
      </c>
      <c r="AF112" s="7">
        <v>0.25</v>
      </c>
      <c r="AG112" s="7">
        <v>1.1000000000000001</v>
      </c>
      <c r="AH112" s="7">
        <v>0.49</v>
      </c>
      <c r="AI112" s="48">
        <v>0.1</v>
      </c>
      <c r="AJ112" s="13">
        <v>1.52</v>
      </c>
      <c r="AK112" s="120">
        <v>0.46</v>
      </c>
      <c r="AL112" s="13" t="s">
        <v>201</v>
      </c>
      <c r="AM112" s="1" t="s">
        <v>201</v>
      </c>
      <c r="AN112" s="1" t="s">
        <v>201</v>
      </c>
      <c r="AO112" s="1" t="s">
        <v>201</v>
      </c>
      <c r="AP112" s="17" t="s">
        <v>201</v>
      </c>
      <c r="AQ112" s="17" t="s">
        <v>245</v>
      </c>
      <c r="AR112" s="17">
        <v>0.5</v>
      </c>
      <c r="AS112" s="120">
        <v>0.35</v>
      </c>
      <c r="AT112" s="120">
        <v>0.9</v>
      </c>
      <c r="AY112" s="1"/>
    </row>
    <row r="113" spans="1:51">
      <c r="A113" s="1" t="s">
        <v>74</v>
      </c>
      <c r="B113" s="80">
        <v>40735</v>
      </c>
      <c r="C113" s="16" t="s">
        <v>200</v>
      </c>
      <c r="AP113" s="17"/>
      <c r="AQ113" s="17" t="s">
        <v>245</v>
      </c>
      <c r="AR113" s="17">
        <v>0.6</v>
      </c>
      <c r="AS113" s="120">
        <v>0.9</v>
      </c>
      <c r="AT113" s="120">
        <v>0.35</v>
      </c>
      <c r="AY113" s="1"/>
    </row>
    <row r="114" spans="1:51">
      <c r="A114" s="1" t="s">
        <v>74</v>
      </c>
      <c r="B114" s="80">
        <v>40735</v>
      </c>
      <c r="C114" s="16" t="s">
        <v>200</v>
      </c>
      <c r="AP114" s="17"/>
      <c r="AQ114" s="17" t="s">
        <v>245</v>
      </c>
      <c r="AR114" s="17">
        <v>1.85</v>
      </c>
      <c r="AS114" s="120">
        <v>0.85</v>
      </c>
      <c r="AT114" s="120">
        <v>0.24</v>
      </c>
      <c r="AY114" s="1"/>
    </row>
    <row r="115" spans="1:51">
      <c r="A115" s="1" t="s">
        <v>74</v>
      </c>
      <c r="B115" s="80">
        <v>40735</v>
      </c>
      <c r="C115" s="16" t="s">
        <v>200</v>
      </c>
      <c r="AP115" s="17"/>
      <c r="AQ115" s="17" t="s">
        <v>245</v>
      </c>
      <c r="AR115" s="17">
        <v>0.85</v>
      </c>
      <c r="AS115" s="120">
        <v>0.8</v>
      </c>
      <c r="AT115" s="120">
        <v>0.9</v>
      </c>
      <c r="AY115" s="1"/>
    </row>
    <row r="116" spans="1:51">
      <c r="A116" s="1" t="s">
        <v>74</v>
      </c>
      <c r="B116" s="80">
        <v>40735</v>
      </c>
      <c r="C116" s="16" t="s">
        <v>200</v>
      </c>
      <c r="Q116" s="113"/>
      <c r="R116" s="91"/>
      <c r="S116" s="108"/>
      <c r="T116" s="111"/>
      <c r="U116" s="113"/>
      <c r="V116" s="113"/>
      <c r="W116" s="127"/>
      <c r="AP116" s="17"/>
      <c r="AQ116" s="17" t="s">
        <v>245</v>
      </c>
      <c r="AR116" s="17">
        <v>1</v>
      </c>
      <c r="AS116" s="120">
        <v>0.4</v>
      </c>
      <c r="AT116" s="120">
        <v>0.3</v>
      </c>
      <c r="AY116" s="1"/>
    </row>
    <row r="117" spans="1:51">
      <c r="A117" s="1" t="s">
        <v>74</v>
      </c>
      <c r="B117" s="80">
        <v>40735</v>
      </c>
      <c r="C117" s="16" t="s">
        <v>198</v>
      </c>
      <c r="D117" s="106">
        <v>0</v>
      </c>
      <c r="E117" s="10">
        <f>1</f>
        <v>1</v>
      </c>
      <c r="F117" s="91" t="s">
        <v>201</v>
      </c>
      <c r="G117" s="117">
        <v>0</v>
      </c>
      <c r="H117" s="107">
        <f>0.4</f>
        <v>0.4</v>
      </c>
      <c r="I117" s="104">
        <f>0.34</f>
        <v>0.34</v>
      </c>
      <c r="J117" s="91" t="s">
        <v>225</v>
      </c>
      <c r="K117" s="109">
        <v>50</v>
      </c>
      <c r="L117" s="107">
        <f>0.75*2.54/100</f>
        <v>1.9050000000000001E-2</v>
      </c>
      <c r="M117" s="104">
        <f>0.35*2.54/100</f>
        <v>8.8899999999999986E-3</v>
      </c>
      <c r="N117" s="91" t="s">
        <v>225</v>
      </c>
      <c r="O117" s="109">
        <v>50</v>
      </c>
      <c r="P117" s="42">
        <f>1.05</f>
        <v>1.05</v>
      </c>
      <c r="Q117" s="113">
        <v>0.32</v>
      </c>
      <c r="R117" s="91" t="s">
        <v>201</v>
      </c>
      <c r="S117" s="108">
        <v>100</v>
      </c>
      <c r="T117" s="111">
        <v>1.35</v>
      </c>
      <c r="U117" s="113">
        <v>0.21</v>
      </c>
      <c r="V117" s="113" t="s">
        <v>201</v>
      </c>
      <c r="W117" s="127">
        <v>100</v>
      </c>
      <c r="X117" s="102">
        <v>0</v>
      </c>
      <c r="Y117" s="91">
        <v>2</v>
      </c>
      <c r="Z117" s="109">
        <v>2</v>
      </c>
      <c r="AA117" s="102"/>
      <c r="AB117" s="91"/>
      <c r="AC117" s="91"/>
      <c r="AD117" s="109"/>
      <c r="AE117" s="42">
        <f>0.75*0.0254</f>
        <v>1.9049999999999997E-2</v>
      </c>
      <c r="AF117" s="7">
        <v>0.25</v>
      </c>
      <c r="AG117" s="7">
        <v>1.35</v>
      </c>
      <c r="AH117" s="113">
        <v>0.53</v>
      </c>
      <c r="AI117" s="115">
        <v>0.06</v>
      </c>
      <c r="AJ117" s="102"/>
      <c r="AP117" s="17"/>
      <c r="AQ117" s="17"/>
      <c r="AR117" s="17"/>
      <c r="AS117" s="120"/>
      <c r="AT117" s="120"/>
      <c r="AY117" s="1"/>
    </row>
    <row r="118" spans="1:51" s="64" customFormat="1">
      <c r="A118" s="91" t="s">
        <v>69</v>
      </c>
      <c r="B118" s="92">
        <v>40723</v>
      </c>
      <c r="C118" s="87" t="s">
        <v>217</v>
      </c>
      <c r="D118" s="107">
        <f>12*2.54/100</f>
        <v>0.30480000000000002</v>
      </c>
      <c r="E118" s="104">
        <f>36*2.54/100</f>
        <v>0.91439999999999999</v>
      </c>
      <c r="F118" s="91" t="s">
        <v>199</v>
      </c>
      <c r="G118" s="117">
        <v>100</v>
      </c>
      <c r="H118" s="107">
        <f>24*2.54/100</f>
        <v>0.60960000000000003</v>
      </c>
      <c r="I118" s="104">
        <f>5*2.54/100</f>
        <v>0.127</v>
      </c>
      <c r="J118" s="91" t="s">
        <v>210</v>
      </c>
      <c r="K118" s="109">
        <v>20</v>
      </c>
      <c r="L118" s="107">
        <f>36*2.54/100</f>
        <v>0.91439999999999999</v>
      </c>
      <c r="M118" s="104">
        <f>6*2.54/100</f>
        <v>0.15240000000000001</v>
      </c>
      <c r="N118" s="91" t="s">
        <v>210</v>
      </c>
      <c r="O118" s="109">
        <v>10</v>
      </c>
      <c r="P118" s="111">
        <f>48*0.0254</f>
        <v>1.2191999999999998</v>
      </c>
      <c r="Q118" s="113">
        <f>3*0.0254</f>
        <v>7.619999999999999E-2</v>
      </c>
      <c r="R118" s="91" t="s">
        <v>225</v>
      </c>
      <c r="S118" s="108">
        <v>10</v>
      </c>
      <c r="T118" s="111">
        <f>60*0.0254</f>
        <v>1.524</v>
      </c>
      <c r="U118" s="113">
        <f>4*0.0254</f>
        <v>0.1016</v>
      </c>
      <c r="V118" s="113" t="s">
        <v>225</v>
      </c>
      <c r="W118" s="127">
        <f>10*0.0254</f>
        <v>0.254</v>
      </c>
      <c r="X118" s="102">
        <v>0</v>
      </c>
      <c r="Y118" s="91">
        <v>1</v>
      </c>
      <c r="Z118" s="109">
        <v>1</v>
      </c>
      <c r="AA118" s="102"/>
      <c r="AB118" s="91"/>
      <c r="AC118" s="91"/>
      <c r="AD118" s="109"/>
      <c r="AE118" s="111">
        <f>8*0.0254</f>
        <v>0.20319999999999999</v>
      </c>
      <c r="AF118" s="113">
        <f>9*0.0254</f>
        <v>0.2286</v>
      </c>
      <c r="AG118" s="113">
        <f>60*0.0254</f>
        <v>1.524</v>
      </c>
      <c r="AH118" s="117">
        <v>0</v>
      </c>
      <c r="AI118" s="111">
        <f>0.18*0.0254</f>
        <v>4.5719999999999997E-3</v>
      </c>
      <c r="AJ118" s="102">
        <f>7*0.0254</f>
        <v>0.17779999999999999</v>
      </c>
      <c r="AK118" s="117">
        <f>59*0.0254</f>
        <v>1.4985999999999999</v>
      </c>
      <c r="AL118" s="102" t="s">
        <v>201</v>
      </c>
      <c r="AM118" s="91" t="s">
        <v>210</v>
      </c>
      <c r="AN118" s="91" t="s">
        <v>210</v>
      </c>
      <c r="AO118" s="91" t="s">
        <v>225</v>
      </c>
      <c r="AP118" s="109" t="s">
        <v>225</v>
      </c>
      <c r="AQ118" s="109"/>
      <c r="AR118" s="109"/>
      <c r="AS118" s="117"/>
      <c r="AT118" s="117"/>
      <c r="AU118" s="91"/>
      <c r="AV118" s="122"/>
      <c r="AW118" s="123"/>
      <c r="AX118" s="87"/>
      <c r="AY118" s="91"/>
    </row>
    <row r="119" spans="1:51" s="64" customFormat="1">
      <c r="A119" s="91" t="s">
        <v>69</v>
      </c>
      <c r="B119" s="92">
        <v>40723</v>
      </c>
      <c r="C119" s="87" t="s">
        <v>208</v>
      </c>
      <c r="D119" s="107">
        <f>12*2.54/100</f>
        <v>0.30480000000000002</v>
      </c>
      <c r="E119" s="104">
        <f>4*2.54/100</f>
        <v>0.1016</v>
      </c>
      <c r="F119" s="91" t="s">
        <v>207</v>
      </c>
      <c r="G119" s="117">
        <v>20</v>
      </c>
      <c r="H119" s="107">
        <f>36*2.54/100</f>
        <v>0.91439999999999999</v>
      </c>
      <c r="I119" s="104">
        <f>3*2.54/100</f>
        <v>7.6200000000000004E-2</v>
      </c>
      <c r="J119" s="91" t="s">
        <v>210</v>
      </c>
      <c r="K119" s="109">
        <v>50</v>
      </c>
      <c r="L119" s="107">
        <f>48*2.54/100</f>
        <v>1.2192000000000001</v>
      </c>
      <c r="M119" s="104">
        <f>3*0.0254</f>
        <v>7.619999999999999E-2</v>
      </c>
      <c r="N119" s="91" t="s">
        <v>225</v>
      </c>
      <c r="O119" s="109">
        <v>50</v>
      </c>
      <c r="P119" s="111">
        <f>60*0.0254</f>
        <v>1.524</v>
      </c>
      <c r="Q119" s="113">
        <f>4*0.0254</f>
        <v>0.1016</v>
      </c>
      <c r="R119" s="91" t="s">
        <v>225</v>
      </c>
      <c r="S119" s="108">
        <v>25</v>
      </c>
      <c r="T119" s="111">
        <f>72*0.0254</f>
        <v>1.8288</v>
      </c>
      <c r="U119" s="113">
        <f>3*0.0254</f>
        <v>7.619999999999999E-2</v>
      </c>
      <c r="V119" s="113" t="s">
        <v>207</v>
      </c>
      <c r="W119" s="127">
        <f>20*0.0254</f>
        <v>0.50800000000000001</v>
      </c>
      <c r="X119" s="102">
        <v>0</v>
      </c>
      <c r="Y119" s="91">
        <v>1</v>
      </c>
      <c r="Z119" s="109">
        <v>3</v>
      </c>
      <c r="AA119" s="102"/>
      <c r="AB119" s="91"/>
      <c r="AC119" s="91"/>
      <c r="AD119" s="109"/>
      <c r="AE119" s="111">
        <f>6*0.0254</f>
        <v>0.15239999999999998</v>
      </c>
      <c r="AF119" s="113">
        <v>0</v>
      </c>
      <c r="AG119" s="113">
        <f>76*0.0254</f>
        <v>1.9303999999999999</v>
      </c>
      <c r="AH119" s="113">
        <f>4*0.0254</f>
        <v>0.1016</v>
      </c>
      <c r="AI119" s="115">
        <f>0.25*0.0254</f>
        <v>6.3499999999999997E-3</v>
      </c>
      <c r="AJ119" s="102">
        <f>4*0.0254</f>
        <v>0.1016</v>
      </c>
      <c r="AK119" s="117">
        <f>55*0.0254</f>
        <v>1.397</v>
      </c>
      <c r="AL119" s="102" t="s">
        <v>201</v>
      </c>
      <c r="AM119" s="91" t="s">
        <v>225</v>
      </c>
      <c r="AN119" s="91" t="s">
        <v>228</v>
      </c>
      <c r="AO119" s="91" t="s">
        <v>225</v>
      </c>
      <c r="AP119" s="109" t="s">
        <v>207</v>
      </c>
      <c r="AQ119" s="109" t="s">
        <v>218</v>
      </c>
      <c r="AR119" s="109">
        <f>20*0.0254</f>
        <v>0.50800000000000001</v>
      </c>
      <c r="AS119" s="117">
        <f>20*0.0254</f>
        <v>0.50800000000000001</v>
      </c>
      <c r="AT119" s="117">
        <f>16*0.0254</f>
        <v>0.40639999999999998</v>
      </c>
      <c r="AU119" s="91"/>
      <c r="AV119" s="122"/>
      <c r="AW119" s="123"/>
      <c r="AX119" s="87"/>
      <c r="AY119" s="91"/>
    </row>
    <row r="120" spans="1:51" s="64" customFormat="1">
      <c r="A120" s="91" t="s">
        <v>69</v>
      </c>
      <c r="B120" s="92">
        <v>40723</v>
      </c>
      <c r="C120" s="87" t="s">
        <v>219</v>
      </c>
      <c r="D120" s="107">
        <f>12*2.54/100</f>
        <v>0.30480000000000002</v>
      </c>
      <c r="E120" s="104">
        <f>8*2.54/100</f>
        <v>0.20319999999999999</v>
      </c>
      <c r="F120" s="91" t="s">
        <v>210</v>
      </c>
      <c r="G120" s="117">
        <v>50</v>
      </c>
      <c r="H120" s="107">
        <f>24*2.54/100</f>
        <v>0.60960000000000003</v>
      </c>
      <c r="I120" s="104">
        <f>7*2.54/100</f>
        <v>0.17780000000000001</v>
      </c>
      <c r="J120" s="91" t="s">
        <v>210</v>
      </c>
      <c r="K120" s="109">
        <v>25</v>
      </c>
      <c r="L120" s="107">
        <f>36*2.54/100</f>
        <v>0.91439999999999999</v>
      </c>
      <c r="M120" s="104">
        <f>7*0.0254</f>
        <v>0.17779999999999999</v>
      </c>
      <c r="N120" s="91" t="s">
        <v>210</v>
      </c>
      <c r="O120" s="109">
        <v>50</v>
      </c>
      <c r="P120" s="111">
        <f>48*0.0254</f>
        <v>1.2191999999999998</v>
      </c>
      <c r="Q120" s="113">
        <f>7*0.0254</f>
        <v>0.17779999999999999</v>
      </c>
      <c r="R120" s="91" t="s">
        <v>201</v>
      </c>
      <c r="S120" s="108">
        <v>100</v>
      </c>
      <c r="T120" s="111">
        <f>60*0.0254</f>
        <v>1.524</v>
      </c>
      <c r="U120" s="113">
        <f>3*0.0254</f>
        <v>7.619999999999999E-2</v>
      </c>
      <c r="V120" s="113" t="s">
        <v>201</v>
      </c>
      <c r="W120" s="127">
        <f>100*0.0254</f>
        <v>2.54</v>
      </c>
      <c r="X120" s="102">
        <v>0</v>
      </c>
      <c r="Y120" s="91">
        <v>1</v>
      </c>
      <c r="Z120" s="109">
        <v>2</v>
      </c>
      <c r="AA120" s="102"/>
      <c r="AB120" s="91"/>
      <c r="AC120" s="91"/>
      <c r="AD120" s="109"/>
      <c r="AE120" s="111">
        <f>15*0.0254</f>
        <v>0.38100000000000001</v>
      </c>
      <c r="AF120" s="113">
        <v>0</v>
      </c>
      <c r="AG120" s="113">
        <f>75*0.0254</f>
        <v>1.905</v>
      </c>
      <c r="AH120" s="113">
        <f>10*0.0254</f>
        <v>0.254</v>
      </c>
      <c r="AI120" s="115">
        <f>0.3*0.0254</f>
        <v>7.6199999999999992E-3</v>
      </c>
      <c r="AJ120" s="102">
        <f>7*0.0254</f>
        <v>0.17779999999999999</v>
      </c>
      <c r="AK120" s="117">
        <f>58*0.0254</f>
        <v>1.4731999999999998</v>
      </c>
      <c r="AL120" s="102" t="s">
        <v>199</v>
      </c>
      <c r="AM120" s="91" t="s">
        <v>207</v>
      </c>
      <c r="AN120" s="91" t="s">
        <v>210</v>
      </c>
      <c r="AO120" s="91" t="s">
        <v>225</v>
      </c>
      <c r="AP120" s="109" t="s">
        <v>225</v>
      </c>
      <c r="AQ120" s="109" t="s">
        <v>244</v>
      </c>
      <c r="AR120" s="109">
        <f>96*0.0254</f>
        <v>2.4383999999999997</v>
      </c>
      <c r="AS120" s="117">
        <f>59*0.0254</f>
        <v>1.4985999999999999</v>
      </c>
      <c r="AT120" s="117">
        <f>12*0.0254</f>
        <v>0.30479999999999996</v>
      </c>
      <c r="AU120" s="91"/>
      <c r="AV120" s="122"/>
      <c r="AW120" s="123"/>
      <c r="AX120" s="87"/>
      <c r="AY120" s="91"/>
    </row>
    <row r="121" spans="1:51">
      <c r="A121" s="91" t="s">
        <v>69</v>
      </c>
      <c r="B121" s="92">
        <v>40723</v>
      </c>
      <c r="C121" s="16" t="s">
        <v>220</v>
      </c>
      <c r="D121" s="106">
        <f>0.1*2.54/100</f>
        <v>2.5400000000000002E-3</v>
      </c>
      <c r="E121" s="104">
        <f>3*0.0254</f>
        <v>7.619999999999999E-2</v>
      </c>
      <c r="F121" s="91" t="s">
        <v>201</v>
      </c>
      <c r="G121" s="117">
        <v>100</v>
      </c>
      <c r="H121" s="107">
        <f>0.6*0.0254</f>
        <v>1.5239999999999998E-2</v>
      </c>
      <c r="I121" s="104">
        <f>0.08*2.54/100</f>
        <v>2.0320000000000004E-3</v>
      </c>
      <c r="J121" s="91" t="s">
        <v>201</v>
      </c>
      <c r="K121" s="109">
        <v>100</v>
      </c>
      <c r="L121" s="107">
        <f>1*2.54/100</f>
        <v>2.5399999999999999E-2</v>
      </c>
      <c r="M121" s="104">
        <f>0.05*0.0254</f>
        <v>1.2700000000000001E-3</v>
      </c>
      <c r="N121" s="91" t="s">
        <v>210</v>
      </c>
      <c r="O121" s="109">
        <v>10</v>
      </c>
      <c r="P121" s="42">
        <f>1.4*0.0254</f>
        <v>3.5559999999999994E-2</v>
      </c>
      <c r="Q121" s="113">
        <f>5*0.025</f>
        <v>0.125</v>
      </c>
      <c r="R121" s="91" t="s">
        <v>207</v>
      </c>
      <c r="S121" s="108">
        <v>10</v>
      </c>
      <c r="T121" s="42">
        <v>1.8</v>
      </c>
      <c r="U121" s="7">
        <v>0.125</v>
      </c>
      <c r="V121" s="7" t="s">
        <v>207</v>
      </c>
      <c r="W121" s="126">
        <v>10</v>
      </c>
      <c r="X121" s="102">
        <v>0</v>
      </c>
      <c r="Y121" s="91">
        <v>1</v>
      </c>
      <c r="Z121" s="109">
        <v>1</v>
      </c>
      <c r="AA121" s="102"/>
      <c r="AB121" s="91"/>
      <c r="AC121" s="91"/>
      <c r="AD121" s="109"/>
      <c r="AE121" s="42">
        <v>0</v>
      </c>
      <c r="AF121" s="7">
        <v>0</v>
      </c>
      <c r="AG121" s="7">
        <v>2.4</v>
      </c>
      <c r="AH121" s="113">
        <f>0.5*0.0254</f>
        <v>1.2699999999999999E-2</v>
      </c>
      <c r="AI121" s="115">
        <v>0.28999999999999998</v>
      </c>
      <c r="AJ121" s="102">
        <f>9*0.025</f>
        <v>0.22500000000000001</v>
      </c>
      <c r="AK121" s="120">
        <f>67*0.025</f>
        <v>1.675</v>
      </c>
      <c r="AL121" s="13" t="s">
        <v>201</v>
      </c>
      <c r="AM121" s="1" t="s">
        <v>210</v>
      </c>
      <c r="AN121" s="1" t="s">
        <v>210</v>
      </c>
      <c r="AO121" s="1" t="s">
        <v>225</v>
      </c>
      <c r="AP121" s="17" t="s">
        <v>225</v>
      </c>
      <c r="AQ121" s="17" t="s">
        <v>233</v>
      </c>
      <c r="AR121" s="17">
        <f>96*0.025</f>
        <v>2.4000000000000004</v>
      </c>
      <c r="AS121" s="120">
        <f>72*0.025</f>
        <v>1.8</v>
      </c>
      <c r="AT121" s="120">
        <f>19*0.025</f>
        <v>0.47500000000000003</v>
      </c>
      <c r="AY121" s="1"/>
    </row>
    <row r="122" spans="1:51">
      <c r="A122" s="91" t="s">
        <v>69</v>
      </c>
      <c r="B122" s="92">
        <v>40723</v>
      </c>
      <c r="C122" s="16" t="s">
        <v>220</v>
      </c>
      <c r="Q122" s="113"/>
      <c r="R122" s="91"/>
      <c r="S122" s="108"/>
      <c r="AJ122" s="102"/>
      <c r="AP122" s="17"/>
      <c r="AQ122" s="17" t="s">
        <v>233</v>
      </c>
      <c r="AR122" s="17">
        <f>6*0.025</f>
        <v>0.15000000000000002</v>
      </c>
      <c r="AS122" s="120">
        <f>72*0.025</f>
        <v>1.8</v>
      </c>
      <c r="AT122" s="120">
        <f>14*0.025</f>
        <v>0.35000000000000003</v>
      </c>
      <c r="AY122" s="1"/>
    </row>
    <row r="123" spans="1:51">
      <c r="A123" s="91" t="s">
        <v>69</v>
      </c>
      <c r="B123" s="92">
        <v>40723</v>
      </c>
      <c r="C123" s="16" t="s">
        <v>220</v>
      </c>
      <c r="Q123" s="113"/>
      <c r="R123" s="91"/>
      <c r="S123" s="108"/>
      <c r="AP123" s="17"/>
      <c r="AQ123" s="17" t="s">
        <v>233</v>
      </c>
      <c r="AR123" s="17">
        <f>67*0.025</f>
        <v>1.675</v>
      </c>
      <c r="AS123" s="120">
        <f>49*0.025</f>
        <v>1.2250000000000001</v>
      </c>
      <c r="AT123" s="120">
        <f>11*0.025</f>
        <v>0.27500000000000002</v>
      </c>
      <c r="AY123" s="1"/>
    </row>
    <row r="124" spans="1:51" s="64" customFormat="1">
      <c r="A124" s="91" t="s">
        <v>69</v>
      </c>
      <c r="B124" s="92">
        <v>40723</v>
      </c>
      <c r="C124" s="87" t="s">
        <v>200</v>
      </c>
      <c r="D124" s="107">
        <f>12*0.0254</f>
        <v>0.30479999999999996</v>
      </c>
      <c r="E124" s="104">
        <f>4*0.0254</f>
        <v>0.1016</v>
      </c>
      <c r="F124" s="91" t="s">
        <v>210</v>
      </c>
      <c r="G124" s="117">
        <f>75*0.0254</f>
        <v>1.905</v>
      </c>
      <c r="H124" s="107">
        <f>24*0.0254</f>
        <v>0.60959999999999992</v>
      </c>
      <c r="I124" s="104">
        <f>3*0.0254</f>
        <v>7.619999999999999E-2</v>
      </c>
      <c r="J124" s="91" t="s">
        <v>210</v>
      </c>
      <c r="K124" s="109">
        <v>50</v>
      </c>
      <c r="L124" s="107">
        <f>36*0.0254</f>
        <v>0.91439999999999999</v>
      </c>
      <c r="M124" s="104">
        <f>2*0.0254</f>
        <v>5.0799999999999998E-2</v>
      </c>
      <c r="N124" s="91" t="s">
        <v>225</v>
      </c>
      <c r="O124" s="109">
        <v>50</v>
      </c>
      <c r="P124" s="111">
        <f>48*0.0254</f>
        <v>1.2191999999999998</v>
      </c>
      <c r="Q124" s="113">
        <f>2*0.0254</f>
        <v>5.0799999999999998E-2</v>
      </c>
      <c r="R124" s="91" t="s">
        <v>225</v>
      </c>
      <c r="S124" s="108">
        <v>80</v>
      </c>
      <c r="T124" s="111">
        <f>60*0.0254</f>
        <v>1.524</v>
      </c>
      <c r="U124" s="113">
        <f>2*0.0254</f>
        <v>5.0799999999999998E-2</v>
      </c>
      <c r="V124" s="113" t="s">
        <v>210</v>
      </c>
      <c r="W124" s="127">
        <v>0</v>
      </c>
      <c r="X124" s="102">
        <v>2</v>
      </c>
      <c r="Y124" s="91">
        <v>2</v>
      </c>
      <c r="Z124" s="109">
        <v>2</v>
      </c>
      <c r="AA124" s="102"/>
      <c r="AB124" s="91"/>
      <c r="AC124" s="91"/>
      <c r="AD124" s="109"/>
      <c r="AE124" s="111">
        <f>24*0.0254</f>
        <v>0.60959999999999992</v>
      </c>
      <c r="AF124" s="113">
        <v>0</v>
      </c>
      <c r="AG124" s="113">
        <f>43*0.0254</f>
        <v>1.0922000000000001</v>
      </c>
      <c r="AH124" s="113">
        <f>5*0.0254</f>
        <v>0.127</v>
      </c>
      <c r="AI124" s="115">
        <f>0.54</f>
        <v>0.54</v>
      </c>
      <c r="AJ124" s="102">
        <f>16*0.0254</f>
        <v>0.40639999999999998</v>
      </c>
      <c r="AK124" s="117">
        <f>80*0.0254</f>
        <v>2.032</v>
      </c>
      <c r="AL124" s="102" t="s">
        <v>228</v>
      </c>
      <c r="AM124" s="91" t="s">
        <v>225</v>
      </c>
      <c r="AN124" s="91" t="s">
        <v>225</v>
      </c>
      <c r="AO124" s="91" t="s">
        <v>225</v>
      </c>
      <c r="AP124" s="109" t="s">
        <v>225</v>
      </c>
      <c r="AQ124" s="109"/>
      <c r="AR124" s="109"/>
      <c r="AS124" s="117"/>
      <c r="AT124" s="117"/>
      <c r="AU124" s="91"/>
      <c r="AV124" s="122"/>
      <c r="AW124" s="123"/>
      <c r="AX124" s="87"/>
      <c r="AY124" s="91"/>
    </row>
    <row r="125" spans="1:51" s="64" customFormat="1">
      <c r="A125" s="91" t="s">
        <v>69</v>
      </c>
      <c r="B125" s="92">
        <v>40723</v>
      </c>
      <c r="C125" s="87" t="s">
        <v>203</v>
      </c>
      <c r="D125" s="107">
        <f>24*0.0254</f>
        <v>0.60959999999999992</v>
      </c>
      <c r="E125" s="104">
        <f>5*0.0254</f>
        <v>0.127</v>
      </c>
      <c r="F125" s="91" t="s">
        <v>225</v>
      </c>
      <c r="G125" s="117">
        <f>30*0.0254</f>
        <v>0.76200000000000001</v>
      </c>
      <c r="H125" s="107">
        <f>36*0.0254</f>
        <v>0.91439999999999999</v>
      </c>
      <c r="I125" s="104">
        <f>3*0.0254</f>
        <v>7.619999999999999E-2</v>
      </c>
      <c r="J125" s="91" t="s">
        <v>199</v>
      </c>
      <c r="K125" s="109">
        <v>100</v>
      </c>
      <c r="L125" s="107">
        <f>48*0.0254</f>
        <v>1.2191999999999998</v>
      </c>
      <c r="M125" s="104">
        <f>4*0.0254</f>
        <v>0.1016</v>
      </c>
      <c r="N125" s="91" t="s">
        <v>228</v>
      </c>
      <c r="O125" s="109">
        <v>25</v>
      </c>
      <c r="P125" s="111">
        <f>60*0.0254</f>
        <v>1.524</v>
      </c>
      <c r="Q125" s="113">
        <f>3*0.0254</f>
        <v>7.619999999999999E-2</v>
      </c>
      <c r="R125" s="91" t="s">
        <v>207</v>
      </c>
      <c r="S125" s="108">
        <v>20</v>
      </c>
      <c r="T125" s="111">
        <f>72*0.0254</f>
        <v>1.8288</v>
      </c>
      <c r="U125" s="113">
        <f>2*0.0254</f>
        <v>5.0799999999999998E-2</v>
      </c>
      <c r="V125" s="113" t="s">
        <v>210</v>
      </c>
      <c r="W125" s="127">
        <v>20</v>
      </c>
      <c r="X125" s="102">
        <v>1</v>
      </c>
      <c r="Y125" s="91">
        <v>1</v>
      </c>
      <c r="Z125" s="109">
        <v>1</v>
      </c>
      <c r="AA125" s="102"/>
      <c r="AB125" s="91"/>
      <c r="AC125" s="91"/>
      <c r="AD125" s="109"/>
      <c r="AE125" s="111">
        <f>13*0.0254</f>
        <v>0.33019999999999999</v>
      </c>
      <c r="AF125" s="113">
        <v>0</v>
      </c>
      <c r="AG125" s="113">
        <f>102*0.0254</f>
        <v>2.5907999999999998</v>
      </c>
      <c r="AH125" s="113">
        <f>6*0.0254</f>
        <v>0.15239999999999998</v>
      </c>
      <c r="AI125" s="115">
        <f>0.55</f>
        <v>0.55000000000000004</v>
      </c>
      <c r="AJ125" s="102">
        <f>6*0.0254</f>
        <v>0.15239999999999998</v>
      </c>
      <c r="AK125" s="117">
        <f>79*0.0254</f>
        <v>2.0065999999999997</v>
      </c>
      <c r="AL125" s="102" t="s">
        <v>228</v>
      </c>
      <c r="AM125" s="91" t="s">
        <v>228</v>
      </c>
      <c r="AN125" s="91" t="s">
        <v>228</v>
      </c>
      <c r="AO125" s="91" t="s">
        <v>228</v>
      </c>
      <c r="AP125" s="109" t="s">
        <v>228</v>
      </c>
      <c r="AQ125" s="109"/>
      <c r="AR125" s="109"/>
      <c r="AS125" s="117"/>
      <c r="AT125" s="117"/>
      <c r="AU125" s="91"/>
      <c r="AV125" s="122"/>
      <c r="AW125" s="123"/>
      <c r="AX125" s="87"/>
      <c r="AY125" s="91"/>
    </row>
    <row r="126" spans="1:51" s="64" customFormat="1">
      <c r="A126" s="91" t="s">
        <v>69</v>
      </c>
      <c r="B126" s="92">
        <v>40723</v>
      </c>
      <c r="C126" s="87" t="s">
        <v>198</v>
      </c>
      <c r="D126" s="107">
        <f>24*0.0254</f>
        <v>0.60959999999999992</v>
      </c>
      <c r="E126" s="104">
        <f>7*0.0254</f>
        <v>0.17779999999999999</v>
      </c>
      <c r="F126" s="91" t="s">
        <v>225</v>
      </c>
      <c r="G126" s="117">
        <f>75*0.0254</f>
        <v>1.905</v>
      </c>
      <c r="H126" s="107">
        <f>36*0.0254</f>
        <v>0.91439999999999999</v>
      </c>
      <c r="I126" s="104">
        <f>7*0.0254</f>
        <v>0.17779999999999999</v>
      </c>
      <c r="J126" s="91" t="s">
        <v>225</v>
      </c>
      <c r="K126" s="109">
        <v>90</v>
      </c>
      <c r="L126" s="107">
        <f>48*0.0254</f>
        <v>1.2191999999999998</v>
      </c>
      <c r="M126" s="104">
        <f>7.5*0.0254</f>
        <v>0.1905</v>
      </c>
      <c r="N126" s="91" t="s">
        <v>225</v>
      </c>
      <c r="O126" s="109">
        <v>95</v>
      </c>
      <c r="P126" s="111">
        <f>60*0.0254</f>
        <v>1.524</v>
      </c>
      <c r="Q126" s="113">
        <f>7*0.0254</f>
        <v>0.17779999999999999</v>
      </c>
      <c r="R126" s="91" t="s">
        <v>199</v>
      </c>
      <c r="S126" s="108">
        <v>100</v>
      </c>
      <c r="T126" s="111">
        <f>65*0.0254</f>
        <v>1.651</v>
      </c>
      <c r="U126" s="113">
        <f>9*0.0254</f>
        <v>0.2286</v>
      </c>
      <c r="V126" s="113" t="s">
        <v>199</v>
      </c>
      <c r="W126" s="127">
        <v>100</v>
      </c>
      <c r="X126" s="102">
        <v>0</v>
      </c>
      <c r="Y126" s="91">
        <v>2</v>
      </c>
      <c r="Z126" s="109">
        <v>3</v>
      </c>
      <c r="AA126" s="102"/>
      <c r="AB126" s="91"/>
      <c r="AC126" s="91"/>
      <c r="AD126" s="109"/>
      <c r="AE126" s="111">
        <f>32*0.0254</f>
        <v>0.81279999999999997</v>
      </c>
      <c r="AF126" s="113">
        <f>16*0.0254</f>
        <v>0.40639999999999998</v>
      </c>
      <c r="AG126" s="113">
        <f>68*0.0254</f>
        <v>1.7271999999999998</v>
      </c>
      <c r="AH126" s="113">
        <f>10*0.0254</f>
        <v>0.254</v>
      </c>
      <c r="AI126" s="115">
        <v>0.04</v>
      </c>
      <c r="AJ126" s="102"/>
      <c r="AK126" s="117"/>
      <c r="AL126" s="102"/>
      <c r="AM126" s="91"/>
      <c r="AN126" s="91"/>
      <c r="AO126" s="91"/>
      <c r="AP126" s="109"/>
      <c r="AQ126" s="109"/>
      <c r="AR126" s="109"/>
      <c r="AS126" s="117"/>
      <c r="AT126" s="117"/>
      <c r="AU126" s="91"/>
      <c r="AV126" s="122"/>
      <c r="AW126" s="123"/>
      <c r="AX126" s="87"/>
      <c r="AY126" s="91"/>
    </row>
    <row r="127" spans="1:51" s="64" customFormat="1">
      <c r="A127" s="91" t="s">
        <v>68</v>
      </c>
      <c r="B127" s="92">
        <v>40722</v>
      </c>
      <c r="C127" s="87" t="s">
        <v>220</v>
      </c>
      <c r="D127" s="107">
        <f>43*0.0254</f>
        <v>1.0922000000000001</v>
      </c>
      <c r="E127" s="104">
        <f>0.5*0.0254</f>
        <v>1.2699999999999999E-2</v>
      </c>
      <c r="F127" s="91" t="s">
        <v>199</v>
      </c>
      <c r="G127" s="117">
        <f>100*0.0254</f>
        <v>2.54</v>
      </c>
      <c r="H127" s="107">
        <f>24*0.0254</f>
        <v>0.60959999999999992</v>
      </c>
      <c r="I127" s="104">
        <f>1*0.0254</f>
        <v>2.5399999999999999E-2</v>
      </c>
      <c r="J127" s="91" t="s">
        <v>207</v>
      </c>
      <c r="K127" s="109">
        <v>50</v>
      </c>
      <c r="L127" s="107">
        <f>21*0.0254</f>
        <v>0.53339999999999999</v>
      </c>
      <c r="M127" s="104">
        <v>0</v>
      </c>
      <c r="N127" s="91" t="s">
        <v>207</v>
      </c>
      <c r="O127" s="109">
        <v>25</v>
      </c>
      <c r="P127" s="111">
        <f>20*0.0254</f>
        <v>0.50800000000000001</v>
      </c>
      <c r="Q127" s="113">
        <f>2*0.0254</f>
        <v>5.0799999999999998E-2</v>
      </c>
      <c r="R127" s="91" t="s">
        <v>210</v>
      </c>
      <c r="S127" s="108">
        <v>50</v>
      </c>
      <c r="T127" s="111">
        <v>0</v>
      </c>
      <c r="U127" s="113">
        <f>3*0.0254</f>
        <v>7.619999999999999E-2</v>
      </c>
      <c r="V127" s="113" t="s">
        <v>207</v>
      </c>
      <c r="W127" s="127">
        <v>50</v>
      </c>
      <c r="X127" s="102">
        <v>0</v>
      </c>
      <c r="Y127" s="91">
        <v>0</v>
      </c>
      <c r="Z127" s="109">
        <v>3</v>
      </c>
      <c r="AA127" s="102"/>
      <c r="AB127" s="91"/>
      <c r="AC127" s="91"/>
      <c r="AD127" s="109"/>
      <c r="AE127" s="111">
        <v>0</v>
      </c>
      <c r="AF127" s="113">
        <v>0</v>
      </c>
      <c r="AG127" s="113">
        <f>43*0.0254</f>
        <v>1.0922000000000001</v>
      </c>
      <c r="AH127" s="113">
        <f>36*0.0254</f>
        <v>0.91439999999999999</v>
      </c>
      <c r="AI127" s="115"/>
      <c r="AJ127" s="102">
        <f>2*0.0254</f>
        <v>5.0799999999999998E-2</v>
      </c>
      <c r="AK127" s="117">
        <f>19*0.0254</f>
        <v>0.48259999999999997</v>
      </c>
      <c r="AL127" s="102"/>
      <c r="AM127" s="91"/>
      <c r="AN127" s="91"/>
      <c r="AO127" s="91"/>
      <c r="AP127" s="109"/>
      <c r="AQ127" s="109"/>
      <c r="AR127" s="109"/>
      <c r="AS127" s="117"/>
      <c r="AT127" s="117"/>
      <c r="AU127" s="91"/>
      <c r="AV127" s="122"/>
      <c r="AW127" s="123"/>
      <c r="AX127" s="87"/>
      <c r="AY127" s="91"/>
    </row>
    <row r="128" spans="1:51" s="64" customFormat="1">
      <c r="A128" s="91" t="s">
        <v>68</v>
      </c>
      <c r="B128" s="92">
        <v>40722</v>
      </c>
      <c r="C128" s="87" t="s">
        <v>219</v>
      </c>
      <c r="D128" s="107">
        <f>25.5*0.0254</f>
        <v>0.64769999999999994</v>
      </c>
      <c r="E128" s="104">
        <f>1*0.0254</f>
        <v>2.5399999999999999E-2</v>
      </c>
      <c r="F128" s="91" t="s">
        <v>225</v>
      </c>
      <c r="G128" s="117">
        <f>25*0.0254</f>
        <v>0.63500000000000001</v>
      </c>
      <c r="H128" s="107">
        <f>18*0.0254</f>
        <v>0.4572</v>
      </c>
      <c r="I128" s="104">
        <f>2*0.0254</f>
        <v>5.0799999999999998E-2</v>
      </c>
      <c r="J128" s="91" t="s">
        <v>210</v>
      </c>
      <c r="K128" s="109">
        <v>5</v>
      </c>
      <c r="L128" s="107">
        <f>13.5*0.0254</f>
        <v>0.34289999999999998</v>
      </c>
      <c r="M128" s="104">
        <f>2*0.0254</f>
        <v>5.0799999999999998E-2</v>
      </c>
      <c r="N128" s="91" t="s">
        <v>210</v>
      </c>
      <c r="O128" s="109">
        <v>5</v>
      </c>
      <c r="P128" s="111">
        <f>7.5*0.0254</f>
        <v>0.1905</v>
      </c>
      <c r="Q128" s="113">
        <f>2*0.0254</f>
        <v>5.0799999999999998E-2</v>
      </c>
      <c r="R128" s="91" t="s">
        <v>207</v>
      </c>
      <c r="S128" s="108">
        <v>95</v>
      </c>
      <c r="T128" s="111">
        <v>0</v>
      </c>
      <c r="U128" s="113">
        <f>0.5*0.0254</f>
        <v>1.2699999999999999E-2</v>
      </c>
      <c r="V128" s="113" t="s">
        <v>199</v>
      </c>
      <c r="W128" s="127">
        <v>100</v>
      </c>
      <c r="X128" s="102">
        <v>0</v>
      </c>
      <c r="Y128" s="91">
        <v>0</v>
      </c>
      <c r="Z128" s="109">
        <v>4</v>
      </c>
      <c r="AA128" s="102"/>
      <c r="AB128" s="91"/>
      <c r="AC128" s="91"/>
      <c r="AD128" s="109"/>
      <c r="AE128" s="111">
        <v>0</v>
      </c>
      <c r="AF128" s="113">
        <v>0</v>
      </c>
      <c r="AG128" s="113">
        <f>25.5*0.0254</f>
        <v>0.64769999999999994</v>
      </c>
      <c r="AH128" s="113">
        <f>2*0.0254</f>
        <v>5.0799999999999998E-2</v>
      </c>
      <c r="AI128" s="115"/>
      <c r="AJ128" s="102">
        <f>2*0.0254</f>
        <v>5.0799999999999998E-2</v>
      </c>
      <c r="AK128" s="117">
        <f>55*0.0254</f>
        <v>1.397</v>
      </c>
      <c r="AL128" s="102" t="s">
        <v>225</v>
      </c>
      <c r="AM128" s="91" t="s">
        <v>225</v>
      </c>
      <c r="AN128" s="91" t="s">
        <v>210</v>
      </c>
      <c r="AO128" s="91" t="s">
        <v>210</v>
      </c>
      <c r="AP128" s="109" t="s">
        <v>210</v>
      </c>
      <c r="AQ128" s="109"/>
      <c r="AR128" s="109"/>
      <c r="AS128" s="117"/>
      <c r="AT128" s="117"/>
      <c r="AU128" s="91"/>
      <c r="AV128" s="122"/>
      <c r="AW128" s="123"/>
      <c r="AX128" s="87"/>
      <c r="AY128" s="91"/>
    </row>
    <row r="129" spans="1:51" s="64" customFormat="1">
      <c r="A129" s="91" t="s">
        <v>68</v>
      </c>
      <c r="B129" s="92">
        <v>40722</v>
      </c>
      <c r="C129" s="87" t="s">
        <v>208</v>
      </c>
      <c r="D129" s="107">
        <f>41*0.0254</f>
        <v>1.0413999999999999</v>
      </c>
      <c r="E129" s="104">
        <f>1*0.0254</f>
        <v>2.5399999999999999E-2</v>
      </c>
      <c r="F129" s="91" t="s">
        <v>210</v>
      </c>
      <c r="G129" s="117">
        <f>10*0.0254</f>
        <v>0.254</v>
      </c>
      <c r="H129" s="107">
        <f>61*0.0254</f>
        <v>1.5493999999999999</v>
      </c>
      <c r="I129" s="104">
        <f>1.5*0.0254</f>
        <v>3.8099999999999995E-2</v>
      </c>
      <c r="J129" s="91" t="s">
        <v>207</v>
      </c>
      <c r="K129" s="109">
        <v>10</v>
      </c>
      <c r="L129" s="107">
        <f>21*0.0254</f>
        <v>0.53339999999999999</v>
      </c>
      <c r="M129" s="104">
        <f>1.5*0.0254</f>
        <v>3.8099999999999995E-2</v>
      </c>
      <c r="N129" s="91" t="s">
        <v>207</v>
      </c>
      <c r="O129" s="109">
        <v>10</v>
      </c>
      <c r="P129" s="111">
        <f>1*0.0254</f>
        <v>2.5399999999999999E-2</v>
      </c>
      <c r="Q129" s="113">
        <f>0.5*0.0254</f>
        <v>1.2699999999999999E-2</v>
      </c>
      <c r="R129" s="91" t="s">
        <v>225</v>
      </c>
      <c r="S129" s="108">
        <v>0</v>
      </c>
      <c r="T129" s="111">
        <v>0</v>
      </c>
      <c r="U129" s="113">
        <f>0.5*0.0254</f>
        <v>1.2699999999999999E-2</v>
      </c>
      <c r="V129" s="113" t="s">
        <v>207</v>
      </c>
      <c r="W129" s="127">
        <v>50</v>
      </c>
      <c r="X129" s="102">
        <v>0</v>
      </c>
      <c r="Y129" s="91">
        <v>0</v>
      </c>
      <c r="Z129" s="109">
        <v>3</v>
      </c>
      <c r="AA129" s="102"/>
      <c r="AB129" s="91"/>
      <c r="AC129" s="91"/>
      <c r="AD129" s="109"/>
      <c r="AE129" s="111">
        <f>3*0.0254</f>
        <v>7.619999999999999E-2</v>
      </c>
      <c r="AF129" s="113">
        <v>0</v>
      </c>
      <c r="AG129" s="113">
        <f>3.5*0.0254</f>
        <v>8.8899999999999993E-2</v>
      </c>
      <c r="AH129" s="113">
        <f>3*0.0254</f>
        <v>7.619999999999999E-2</v>
      </c>
      <c r="AI129" s="115"/>
      <c r="AJ129" s="102">
        <f>5*0.0254</f>
        <v>0.127</v>
      </c>
      <c r="AK129" s="117">
        <f>24*0.0254</f>
        <v>0.60959999999999992</v>
      </c>
      <c r="AL129" s="102" t="s">
        <v>207</v>
      </c>
      <c r="AM129" s="91" t="s">
        <v>225</v>
      </c>
      <c r="AN129" s="91" t="s">
        <v>207</v>
      </c>
      <c r="AO129" s="91" t="s">
        <v>199</v>
      </c>
      <c r="AP129" s="109" t="s">
        <v>225</v>
      </c>
      <c r="AQ129" s="109"/>
      <c r="AR129" s="109"/>
      <c r="AS129" s="117"/>
      <c r="AT129" s="117"/>
      <c r="AU129" s="91"/>
      <c r="AV129" s="122"/>
      <c r="AW129" s="123"/>
      <c r="AX129" s="87"/>
      <c r="AY129" s="91"/>
    </row>
    <row r="130" spans="1:51" s="64" customFormat="1">
      <c r="A130" s="91" t="s">
        <v>68</v>
      </c>
      <c r="B130" s="92">
        <v>40722</v>
      </c>
      <c r="C130" s="87" t="s">
        <v>217</v>
      </c>
      <c r="D130" s="107">
        <f>12*0.0254</f>
        <v>0.30479999999999996</v>
      </c>
      <c r="E130" s="104">
        <f>1.5*0.0254</f>
        <v>3.8099999999999995E-2</v>
      </c>
      <c r="F130" s="91" t="s">
        <v>210</v>
      </c>
      <c r="G130" s="117">
        <f>50*0.0254</f>
        <v>1.27</v>
      </c>
      <c r="H130" s="107">
        <f>9*0.0254</f>
        <v>0.2286</v>
      </c>
      <c r="I130" s="104">
        <f>2.5*0.0254</f>
        <v>6.3500000000000001E-2</v>
      </c>
      <c r="J130" s="91" t="s">
        <v>210</v>
      </c>
      <c r="K130" s="109">
        <v>50</v>
      </c>
      <c r="L130" s="107">
        <f>6*0.0254</f>
        <v>0.15239999999999998</v>
      </c>
      <c r="M130" s="104">
        <f>3*0.0254</f>
        <v>7.619999999999999E-2</v>
      </c>
      <c r="N130" s="91" t="s">
        <v>210</v>
      </c>
      <c r="O130" s="109">
        <v>50</v>
      </c>
      <c r="P130" s="111">
        <f>4*0.0254</f>
        <v>0.1016</v>
      </c>
      <c r="Q130" s="113">
        <f>3*0.0254</f>
        <v>7.619999999999999E-2</v>
      </c>
      <c r="R130" s="91" t="s">
        <v>210</v>
      </c>
      <c r="S130" s="108">
        <v>50</v>
      </c>
      <c r="T130" s="111">
        <v>0</v>
      </c>
      <c r="U130" s="113">
        <f>2.5*0.0254</f>
        <v>6.3500000000000001E-2</v>
      </c>
      <c r="V130" s="113" t="s">
        <v>210</v>
      </c>
      <c r="W130" s="127">
        <v>50</v>
      </c>
      <c r="X130" s="102">
        <v>0</v>
      </c>
      <c r="Y130" s="91">
        <v>0</v>
      </c>
      <c r="Z130" s="109">
        <v>4</v>
      </c>
      <c r="AA130" s="102"/>
      <c r="AB130" s="91"/>
      <c r="AC130" s="91"/>
      <c r="AD130" s="109"/>
      <c r="AE130" s="111">
        <f>5*0.0254</f>
        <v>0.127</v>
      </c>
      <c r="AF130" s="113">
        <f>7*0.0254</f>
        <v>0.17779999999999999</v>
      </c>
      <c r="AG130" s="113">
        <f>2*0.0254</f>
        <v>5.0799999999999998E-2</v>
      </c>
      <c r="AH130" s="113">
        <f>3*0.0254</f>
        <v>7.619999999999999E-2</v>
      </c>
      <c r="AI130" s="115"/>
      <c r="AJ130" s="102">
        <f>3.5*0.0254</f>
        <v>8.8899999999999993E-2</v>
      </c>
      <c r="AK130" s="117">
        <f>2*0.0254</f>
        <v>5.0799999999999998E-2</v>
      </c>
      <c r="AL130" s="102" t="s">
        <v>207</v>
      </c>
      <c r="AM130" s="91" t="s">
        <v>207</v>
      </c>
      <c r="AN130" s="91" t="s">
        <v>207</v>
      </c>
      <c r="AO130" s="91" t="s">
        <v>207</v>
      </c>
      <c r="AP130" s="109" t="s">
        <v>207</v>
      </c>
      <c r="AQ130" s="109"/>
      <c r="AR130" s="109"/>
      <c r="AS130" s="117"/>
      <c r="AT130" s="117"/>
      <c r="AU130" s="91"/>
      <c r="AV130" s="122"/>
      <c r="AW130" s="123"/>
      <c r="AX130" s="87"/>
      <c r="AY130" s="91"/>
    </row>
    <row r="131" spans="1:51" s="64" customFormat="1">
      <c r="A131" s="91" t="s">
        <v>68</v>
      </c>
      <c r="B131" s="92">
        <v>40722</v>
      </c>
      <c r="C131" s="87" t="s">
        <v>203</v>
      </c>
      <c r="D131" s="107">
        <f>22*0.0254</f>
        <v>0.55879999999999996</v>
      </c>
      <c r="E131" s="104">
        <f>1.75*0.0254</f>
        <v>4.4449999999999996E-2</v>
      </c>
      <c r="F131" s="91" t="s">
        <v>207</v>
      </c>
      <c r="G131" s="117">
        <f>45*0.0254</f>
        <v>1.143</v>
      </c>
      <c r="H131" s="107">
        <f>16*0.0254</f>
        <v>0.40639999999999998</v>
      </c>
      <c r="I131" s="104">
        <f>4*0.0254</f>
        <v>0.1016</v>
      </c>
      <c r="J131" s="91" t="s">
        <v>207</v>
      </c>
      <c r="K131" s="109">
        <v>20</v>
      </c>
      <c r="L131" s="107">
        <f>11*0.0254</f>
        <v>0.27939999999999998</v>
      </c>
      <c r="M131" s="104">
        <f>4*0.0254</f>
        <v>0.1016</v>
      </c>
      <c r="N131" s="91" t="s">
        <v>207</v>
      </c>
      <c r="O131" s="109">
        <v>20</v>
      </c>
      <c r="P131" s="111">
        <f>7*0.0254</f>
        <v>0.17779999999999999</v>
      </c>
      <c r="Q131" s="113" t="s">
        <v>204</v>
      </c>
      <c r="R131" s="91" t="s">
        <v>207</v>
      </c>
      <c r="S131" s="108">
        <v>20</v>
      </c>
      <c r="T131" s="111" t="s">
        <v>204</v>
      </c>
      <c r="U131" s="113" t="s">
        <v>204</v>
      </c>
      <c r="V131" s="113" t="s">
        <v>204</v>
      </c>
      <c r="W131" s="127" t="s">
        <v>204</v>
      </c>
      <c r="X131" s="102">
        <v>0</v>
      </c>
      <c r="Y131" s="91">
        <v>0</v>
      </c>
      <c r="Z131" s="109">
        <v>0</v>
      </c>
      <c r="AA131" s="102"/>
      <c r="AB131" s="91"/>
      <c r="AC131" s="91"/>
      <c r="AD131" s="109"/>
      <c r="AE131" s="111">
        <v>0</v>
      </c>
      <c r="AF131" s="113">
        <f>10*0.0254</f>
        <v>0.254</v>
      </c>
      <c r="AG131" s="113">
        <f>22*0.0254</f>
        <v>0.55879999999999996</v>
      </c>
      <c r="AH131" s="113">
        <f>4.5*0.0254</f>
        <v>0.1143</v>
      </c>
      <c r="AI131" s="115"/>
      <c r="AJ131" s="102">
        <f>4*0.0254</f>
        <v>0.1016</v>
      </c>
      <c r="AK131" s="117">
        <f>30*0.0254</f>
        <v>0.76200000000000001</v>
      </c>
      <c r="AL131" s="102" t="s">
        <v>199</v>
      </c>
      <c r="AM131" s="91" t="s">
        <v>199</v>
      </c>
      <c r="AN131" s="91" t="s">
        <v>199</v>
      </c>
      <c r="AO131" s="91" t="s">
        <v>199</v>
      </c>
      <c r="AP131" s="109" t="s">
        <v>199</v>
      </c>
      <c r="AQ131" s="109"/>
      <c r="AR131" s="109"/>
      <c r="AS131" s="117"/>
      <c r="AT131" s="117"/>
      <c r="AU131" s="91"/>
      <c r="AV131" s="122"/>
      <c r="AW131" s="123"/>
      <c r="AX131" s="87"/>
      <c r="AY131" s="91"/>
    </row>
    <row r="132" spans="1:51" s="64" customFormat="1">
      <c r="A132" s="91" t="s">
        <v>68</v>
      </c>
      <c r="B132" s="92">
        <v>40722</v>
      </c>
      <c r="C132" s="87" t="s">
        <v>200</v>
      </c>
      <c r="D132" s="107">
        <v>0</v>
      </c>
      <c r="E132" s="104" t="s">
        <v>204</v>
      </c>
      <c r="F132" s="91" t="s">
        <v>210</v>
      </c>
      <c r="G132" s="117">
        <f>50*0.0254</f>
        <v>1.27</v>
      </c>
      <c r="H132" s="107">
        <f>7*0.0254</f>
        <v>0.17779999999999999</v>
      </c>
      <c r="I132" s="104">
        <f>4*0.0254</f>
        <v>0.1016</v>
      </c>
      <c r="J132" s="91" t="s">
        <v>210</v>
      </c>
      <c r="K132" s="109">
        <v>50</v>
      </c>
      <c r="L132" s="107">
        <f>13*0.0254</f>
        <v>0.33019999999999999</v>
      </c>
      <c r="M132" s="104">
        <f>4*0.0254</f>
        <v>0.1016</v>
      </c>
      <c r="N132" s="91" t="s">
        <v>207</v>
      </c>
      <c r="O132" s="109">
        <v>20</v>
      </c>
      <c r="P132" s="111">
        <f>18*0.0254</f>
        <v>0.4572</v>
      </c>
      <c r="Q132" s="113">
        <f>3*0.0254</f>
        <v>7.619999999999999E-2</v>
      </c>
      <c r="R132" s="91" t="s">
        <v>207</v>
      </c>
      <c r="S132" s="108">
        <v>20</v>
      </c>
      <c r="T132" s="111">
        <f>19*0.0254</f>
        <v>0.48259999999999997</v>
      </c>
      <c r="U132" s="113">
        <f>3*0.0254</f>
        <v>7.619999999999999E-2</v>
      </c>
      <c r="V132" s="113" t="s">
        <v>207</v>
      </c>
      <c r="W132" s="127">
        <v>20</v>
      </c>
      <c r="X132" s="102">
        <v>0</v>
      </c>
      <c r="Y132" s="91">
        <v>0</v>
      </c>
      <c r="Z132" s="109">
        <v>0</v>
      </c>
      <c r="AA132" s="102"/>
      <c r="AB132" s="91"/>
      <c r="AC132" s="91"/>
      <c r="AD132" s="109"/>
      <c r="AE132" s="111">
        <f>6*0.0254</f>
        <v>0.15239999999999998</v>
      </c>
      <c r="AF132" s="113">
        <v>0</v>
      </c>
      <c r="AG132" s="113">
        <f>19*0.0254</f>
        <v>0.48259999999999997</v>
      </c>
      <c r="AH132" s="113">
        <f>4*0.0254</f>
        <v>0.1016</v>
      </c>
      <c r="AI132" s="115"/>
      <c r="AJ132" s="102">
        <f>2*0.0254</f>
        <v>5.0799999999999998E-2</v>
      </c>
      <c r="AK132" s="117">
        <f>22*0.0254</f>
        <v>0.55879999999999996</v>
      </c>
      <c r="AL132" s="102" t="s">
        <v>210</v>
      </c>
      <c r="AM132" s="91" t="s">
        <v>210</v>
      </c>
      <c r="AN132" s="91" t="s">
        <v>210</v>
      </c>
      <c r="AO132" s="91" t="s">
        <v>207</v>
      </c>
      <c r="AP132" s="109" t="s">
        <v>207</v>
      </c>
      <c r="AQ132" s="109"/>
      <c r="AR132" s="109"/>
      <c r="AS132" s="117"/>
      <c r="AT132" s="117"/>
      <c r="AU132" s="91"/>
      <c r="AV132" s="122"/>
      <c r="AW132" s="123"/>
      <c r="AX132" s="87"/>
      <c r="AY132" s="91"/>
    </row>
    <row r="133" spans="1:51" s="64" customFormat="1">
      <c r="A133" s="91" t="s">
        <v>68</v>
      </c>
      <c r="B133" s="92">
        <v>40722</v>
      </c>
      <c r="C133" s="87" t="s">
        <v>198</v>
      </c>
      <c r="D133" s="107">
        <f>20*0.0254</f>
        <v>0.50800000000000001</v>
      </c>
      <c r="E133" s="104" t="s">
        <v>204</v>
      </c>
      <c r="F133" s="91" t="s">
        <v>204</v>
      </c>
      <c r="G133" s="117" t="s">
        <v>204</v>
      </c>
      <c r="H133" s="107" t="s">
        <v>204</v>
      </c>
      <c r="I133" s="104"/>
      <c r="J133" s="91"/>
      <c r="K133" s="109"/>
      <c r="L133" s="107">
        <f>10*0.0254</f>
        <v>0.254</v>
      </c>
      <c r="M133" s="104">
        <f>4*0.0254</f>
        <v>0.1016</v>
      </c>
      <c r="N133" s="91" t="s">
        <v>207</v>
      </c>
      <c r="O133" s="109">
        <v>20</v>
      </c>
      <c r="P133" s="111" t="s">
        <v>204</v>
      </c>
      <c r="Q133" s="113"/>
      <c r="R133" s="91"/>
      <c r="S133" s="108"/>
      <c r="T133" s="111" t="s">
        <v>204</v>
      </c>
      <c r="U133" s="113"/>
      <c r="V133" s="113"/>
      <c r="W133" s="127"/>
      <c r="X133" s="102">
        <v>0</v>
      </c>
      <c r="Y133" s="91">
        <v>0</v>
      </c>
      <c r="Z133" s="109">
        <v>0</v>
      </c>
      <c r="AA133" s="102"/>
      <c r="AB133" s="91"/>
      <c r="AC133" s="91"/>
      <c r="AD133" s="109"/>
      <c r="AE133" s="111">
        <f>6*0.0254</f>
        <v>0.15239999999999998</v>
      </c>
      <c r="AF133" s="113">
        <f>6*0.0254</f>
        <v>0.15239999999999998</v>
      </c>
      <c r="AG133" s="113">
        <f>19*0.0254</f>
        <v>0.48259999999999997</v>
      </c>
      <c r="AH133" s="113">
        <f>4*0.0254</f>
        <v>0.1016</v>
      </c>
      <c r="AI133" s="115"/>
      <c r="AJ133" s="102"/>
      <c r="AK133" s="117"/>
      <c r="AL133" s="102"/>
      <c r="AM133" s="91"/>
      <c r="AN133" s="91"/>
      <c r="AO133" s="91"/>
      <c r="AP133" s="109"/>
      <c r="AQ133" s="109"/>
      <c r="AR133" s="109"/>
      <c r="AS133" s="117"/>
      <c r="AT133" s="117"/>
      <c r="AU133" s="91"/>
      <c r="AV133" s="122"/>
      <c r="AW133" s="123"/>
      <c r="AX133" s="87"/>
      <c r="AY133" s="91"/>
    </row>
    <row r="134" spans="1:51">
      <c r="A134" s="1" t="s">
        <v>70</v>
      </c>
      <c r="B134" s="80">
        <v>40729</v>
      </c>
      <c r="C134" s="16" t="s">
        <v>217</v>
      </c>
      <c r="D134" s="106">
        <v>0.3</v>
      </c>
      <c r="E134" s="10">
        <v>0.31</v>
      </c>
      <c r="F134" s="1" t="s">
        <v>225</v>
      </c>
      <c r="G134" s="120">
        <v>50</v>
      </c>
      <c r="H134" s="106">
        <v>0.6</v>
      </c>
      <c r="I134" s="10">
        <v>0.27</v>
      </c>
      <c r="J134" s="1" t="s">
        <v>199</v>
      </c>
      <c r="K134" s="17">
        <v>100</v>
      </c>
      <c r="L134" s="107">
        <v>0.9</v>
      </c>
      <c r="M134" s="10">
        <v>0.18</v>
      </c>
      <c r="N134" s="1" t="s">
        <v>199</v>
      </c>
      <c r="O134" s="17">
        <v>100</v>
      </c>
      <c r="P134" s="42">
        <v>1.2</v>
      </c>
      <c r="Q134" s="7">
        <v>0.16</v>
      </c>
      <c r="R134" s="1" t="s">
        <v>199</v>
      </c>
      <c r="S134" s="15">
        <v>100</v>
      </c>
      <c r="T134" s="42">
        <v>1.5</v>
      </c>
      <c r="U134" s="7">
        <v>0.14000000000000001</v>
      </c>
      <c r="V134" s="7" t="s">
        <v>210</v>
      </c>
      <c r="W134" s="126">
        <v>60</v>
      </c>
      <c r="X134" s="13">
        <v>0</v>
      </c>
      <c r="Y134" s="1">
        <v>1</v>
      </c>
      <c r="Z134" s="17">
        <v>2</v>
      </c>
      <c r="AE134" s="42">
        <v>0.32</v>
      </c>
      <c r="AF134" s="113">
        <v>0</v>
      </c>
      <c r="AG134" s="7">
        <v>2.31</v>
      </c>
      <c r="AH134" s="7">
        <v>0.36</v>
      </c>
      <c r="AI134" s="48">
        <v>0.37</v>
      </c>
      <c r="AJ134" s="13">
        <v>0.27</v>
      </c>
      <c r="AK134" s="120">
        <v>1</v>
      </c>
      <c r="AL134" s="13" t="s">
        <v>225</v>
      </c>
      <c r="AM134" s="1" t="s">
        <v>225</v>
      </c>
      <c r="AN134" s="1" t="s">
        <v>225</v>
      </c>
      <c r="AO134" s="1" t="s">
        <v>279</v>
      </c>
      <c r="AP134" s="17" t="s">
        <v>199</v>
      </c>
      <c r="AQ134" s="17"/>
      <c r="AR134" s="17"/>
      <c r="AS134" s="120"/>
      <c r="AT134" s="120"/>
      <c r="AY134" s="1"/>
    </row>
    <row r="135" spans="1:51">
      <c r="A135" s="1" t="s">
        <v>70</v>
      </c>
      <c r="B135" s="80">
        <v>40729</v>
      </c>
      <c r="C135" s="16" t="s">
        <v>208</v>
      </c>
      <c r="D135" s="106">
        <v>0.2</v>
      </c>
      <c r="E135" s="10">
        <v>0.21</v>
      </c>
      <c r="F135" s="1" t="s">
        <v>199</v>
      </c>
      <c r="G135" s="120">
        <v>100</v>
      </c>
      <c r="H135" s="106">
        <v>0.4</v>
      </c>
      <c r="I135" s="10">
        <v>0.12</v>
      </c>
      <c r="J135" s="1" t="s">
        <v>228</v>
      </c>
      <c r="K135" s="17">
        <v>25</v>
      </c>
      <c r="L135" s="106">
        <v>0.6</v>
      </c>
      <c r="M135" s="10">
        <v>0.53</v>
      </c>
      <c r="N135" s="1" t="s">
        <v>228</v>
      </c>
      <c r="O135" s="17">
        <v>60</v>
      </c>
      <c r="P135" s="42">
        <v>0.8</v>
      </c>
      <c r="Q135" s="7">
        <v>0.52</v>
      </c>
      <c r="R135" s="1" t="s">
        <v>228</v>
      </c>
      <c r="S135" s="15">
        <v>50</v>
      </c>
      <c r="T135" s="42">
        <v>1</v>
      </c>
      <c r="U135" s="7">
        <v>0.6</v>
      </c>
      <c r="V135" s="7" t="s">
        <v>225</v>
      </c>
      <c r="W135" s="126">
        <v>50</v>
      </c>
      <c r="X135" s="13">
        <v>0</v>
      </c>
      <c r="Y135" s="1">
        <v>2</v>
      </c>
      <c r="Z135" s="17">
        <v>3</v>
      </c>
      <c r="AE135" s="42">
        <v>0</v>
      </c>
      <c r="AF135" s="113">
        <v>0.24</v>
      </c>
      <c r="AG135" s="7">
        <v>1.4</v>
      </c>
      <c r="AH135" s="7">
        <v>0.6</v>
      </c>
      <c r="AI135" s="48">
        <v>0.32</v>
      </c>
      <c r="AJ135" s="13">
        <v>0.28999999999999998</v>
      </c>
      <c r="AK135" s="120">
        <v>1.9</v>
      </c>
      <c r="AP135" s="17"/>
      <c r="AQ135" s="17" t="s">
        <v>218</v>
      </c>
      <c r="AR135" s="17">
        <v>3</v>
      </c>
      <c r="AS135" s="120">
        <v>4</v>
      </c>
      <c r="AT135" s="120">
        <v>0.41</v>
      </c>
      <c r="AY135" s="1"/>
    </row>
    <row r="136" spans="1:51">
      <c r="A136" s="1" t="s">
        <v>70</v>
      </c>
      <c r="B136" s="80">
        <v>40729</v>
      </c>
      <c r="C136" s="16" t="s">
        <v>219</v>
      </c>
      <c r="D136" s="106">
        <v>0.2</v>
      </c>
      <c r="E136" s="10">
        <v>0.28000000000000003</v>
      </c>
      <c r="F136" s="1" t="s">
        <v>199</v>
      </c>
      <c r="G136" s="120">
        <v>100</v>
      </c>
      <c r="H136" s="106">
        <v>0.5</v>
      </c>
      <c r="I136" s="10">
        <v>0.28999999999999998</v>
      </c>
      <c r="J136" s="1" t="s">
        <v>210</v>
      </c>
      <c r="K136" s="17">
        <v>50</v>
      </c>
      <c r="L136" s="106">
        <v>0.9</v>
      </c>
      <c r="M136" s="10">
        <v>0.17</v>
      </c>
      <c r="N136" s="1" t="s">
        <v>207</v>
      </c>
      <c r="O136" s="17">
        <v>50</v>
      </c>
      <c r="P136" s="42">
        <v>1.4</v>
      </c>
      <c r="Q136" s="7">
        <v>0.19</v>
      </c>
      <c r="R136" s="1" t="s">
        <v>199</v>
      </c>
      <c r="S136" s="15">
        <v>100</v>
      </c>
      <c r="T136" s="42">
        <v>1.7</v>
      </c>
      <c r="U136" s="7">
        <v>7.0000000000000007E-2</v>
      </c>
      <c r="V136" s="7" t="s">
        <v>201</v>
      </c>
      <c r="W136" s="126">
        <v>100</v>
      </c>
      <c r="X136" s="13">
        <v>0</v>
      </c>
      <c r="Y136" s="1">
        <v>1</v>
      </c>
      <c r="Z136" s="17">
        <v>3</v>
      </c>
      <c r="AE136" s="42">
        <v>0.4</v>
      </c>
      <c r="AF136" s="7">
        <v>0</v>
      </c>
      <c r="AG136" s="7">
        <v>1.8</v>
      </c>
      <c r="AH136" s="7">
        <v>0.3</v>
      </c>
      <c r="AI136" s="48">
        <v>0.12</v>
      </c>
      <c r="AJ136" s="13">
        <v>0.36</v>
      </c>
      <c r="AK136" s="120">
        <v>1.9</v>
      </c>
      <c r="AL136" s="13" t="s">
        <v>199</v>
      </c>
      <c r="AM136" s="1" t="s">
        <v>199</v>
      </c>
      <c r="AN136" s="1" t="s">
        <v>199</v>
      </c>
      <c r="AO136" s="1" t="s">
        <v>199</v>
      </c>
      <c r="AP136" s="17" t="s">
        <v>199</v>
      </c>
      <c r="AQ136" s="17" t="s">
        <v>244</v>
      </c>
      <c r="AR136" s="17">
        <v>3</v>
      </c>
      <c r="AS136" s="120">
        <v>3</v>
      </c>
      <c r="AT136" s="120">
        <v>0.68</v>
      </c>
      <c r="AY136" s="1"/>
    </row>
    <row r="137" spans="1:51">
      <c r="A137" s="1" t="s">
        <v>70</v>
      </c>
      <c r="B137" s="80">
        <v>40729</v>
      </c>
      <c r="C137" s="16" t="s">
        <v>220</v>
      </c>
      <c r="D137" s="106">
        <v>0.5</v>
      </c>
      <c r="E137" s="10">
        <v>0.18</v>
      </c>
      <c r="F137" s="1" t="s">
        <v>199</v>
      </c>
      <c r="G137" s="120">
        <v>100</v>
      </c>
      <c r="H137" s="106">
        <v>1</v>
      </c>
      <c r="I137" s="10">
        <v>0.21</v>
      </c>
      <c r="J137" s="1" t="s">
        <v>199</v>
      </c>
      <c r="K137" s="17">
        <v>100</v>
      </c>
      <c r="L137" s="106">
        <v>1.5</v>
      </c>
      <c r="M137" s="10">
        <v>0.2</v>
      </c>
      <c r="N137" s="1" t="s">
        <v>199</v>
      </c>
      <c r="O137" s="17">
        <v>100</v>
      </c>
      <c r="P137" s="42">
        <v>2</v>
      </c>
      <c r="Q137" s="7">
        <v>0.1</v>
      </c>
      <c r="R137" s="1" t="s">
        <v>207</v>
      </c>
      <c r="S137" s="15">
        <v>80</v>
      </c>
      <c r="T137" s="42">
        <v>2.2999999999999998</v>
      </c>
      <c r="U137" s="7">
        <v>0.03</v>
      </c>
      <c r="V137" s="7" t="s">
        <v>207</v>
      </c>
      <c r="W137" s="126">
        <v>90</v>
      </c>
      <c r="X137" s="13">
        <v>0</v>
      </c>
      <c r="Y137" s="1">
        <v>1</v>
      </c>
      <c r="Z137" s="17">
        <v>2</v>
      </c>
      <c r="AE137" s="42">
        <v>0</v>
      </c>
      <c r="AF137" s="7">
        <v>0</v>
      </c>
      <c r="AG137" s="7">
        <v>2.5</v>
      </c>
      <c r="AH137" s="7">
        <v>0.22</v>
      </c>
      <c r="AI137" s="48">
        <v>0.15</v>
      </c>
      <c r="AJ137" s="13">
        <v>0.3</v>
      </c>
      <c r="AK137" s="120">
        <v>1.9</v>
      </c>
      <c r="AL137" s="13" t="s">
        <v>199</v>
      </c>
      <c r="AM137" s="1" t="s">
        <v>199</v>
      </c>
      <c r="AN137" s="1" t="s">
        <v>225</v>
      </c>
      <c r="AO137" s="1" t="s">
        <v>280</v>
      </c>
      <c r="AP137" s="17" t="s">
        <v>228</v>
      </c>
      <c r="AQ137" s="17" t="s">
        <v>233</v>
      </c>
      <c r="AR137" s="17">
        <v>2</v>
      </c>
      <c r="AS137" s="120">
        <v>2</v>
      </c>
      <c r="AT137" s="120">
        <v>0.3</v>
      </c>
      <c r="AY137" s="1"/>
    </row>
    <row r="138" spans="1:51" s="64" customFormat="1">
      <c r="A138" s="91" t="s">
        <v>70</v>
      </c>
      <c r="B138" s="92">
        <v>40729</v>
      </c>
      <c r="C138" s="87" t="s">
        <v>220</v>
      </c>
      <c r="D138" s="107"/>
      <c r="E138" s="104"/>
      <c r="F138" s="91"/>
      <c r="G138" s="117"/>
      <c r="H138" s="107"/>
      <c r="I138" s="104"/>
      <c r="J138" s="91"/>
      <c r="K138" s="109"/>
      <c r="L138" s="107"/>
      <c r="M138" s="104"/>
      <c r="N138" s="91"/>
      <c r="O138" s="109"/>
      <c r="P138" s="111"/>
      <c r="Q138" s="113"/>
      <c r="R138" s="91"/>
      <c r="S138" s="108"/>
      <c r="T138" s="111"/>
      <c r="U138" s="113"/>
      <c r="V138" s="113"/>
      <c r="W138" s="127"/>
      <c r="X138" s="102"/>
      <c r="Y138" s="91"/>
      <c r="Z138" s="109"/>
      <c r="AA138" s="102"/>
      <c r="AB138" s="91"/>
      <c r="AC138" s="91"/>
      <c r="AD138" s="109"/>
      <c r="AE138" s="111"/>
      <c r="AF138" s="113"/>
      <c r="AG138" s="113"/>
      <c r="AH138" s="113"/>
      <c r="AI138" s="115"/>
      <c r="AJ138" s="102"/>
      <c r="AK138" s="117"/>
      <c r="AL138" s="102"/>
      <c r="AM138" s="91"/>
      <c r="AN138" s="91"/>
      <c r="AO138" s="91"/>
      <c r="AP138" s="109"/>
      <c r="AQ138" s="109" t="s">
        <v>233</v>
      </c>
      <c r="AR138" s="109">
        <v>2</v>
      </c>
      <c r="AS138" s="117">
        <v>3</v>
      </c>
      <c r="AT138" s="117">
        <v>0.3</v>
      </c>
      <c r="AU138" s="91"/>
      <c r="AV138" s="122"/>
      <c r="AW138" s="123"/>
      <c r="AX138" s="87"/>
      <c r="AY138" s="128" t="s">
        <v>281</v>
      </c>
    </row>
    <row r="139" spans="1:51">
      <c r="A139" s="1" t="s">
        <v>70</v>
      </c>
      <c r="B139" s="80">
        <v>40729</v>
      </c>
      <c r="C139" s="16" t="s">
        <v>203</v>
      </c>
      <c r="D139" s="106">
        <v>0.15</v>
      </c>
      <c r="E139" s="10">
        <v>7.0000000000000007E-2</v>
      </c>
      <c r="F139" s="1" t="s">
        <v>207</v>
      </c>
      <c r="G139" s="120">
        <v>0</v>
      </c>
      <c r="H139" s="106">
        <v>0.3</v>
      </c>
      <c r="I139" s="10">
        <v>0.06</v>
      </c>
      <c r="J139" s="1" t="s">
        <v>225</v>
      </c>
      <c r="K139" s="17">
        <v>0</v>
      </c>
      <c r="L139" s="106">
        <v>0.6</v>
      </c>
      <c r="M139" s="10">
        <v>0.1</v>
      </c>
      <c r="N139" s="1" t="s">
        <v>207</v>
      </c>
      <c r="O139" s="17">
        <v>0</v>
      </c>
      <c r="P139" s="42">
        <v>0.9</v>
      </c>
      <c r="Q139" s="7">
        <v>7.0000000000000007E-2</v>
      </c>
      <c r="R139" s="1" t="s">
        <v>225</v>
      </c>
      <c r="S139" s="15">
        <v>50</v>
      </c>
      <c r="T139" s="42">
        <v>1.2</v>
      </c>
      <c r="U139" s="7">
        <v>0.05</v>
      </c>
      <c r="V139" s="7" t="s">
        <v>207</v>
      </c>
      <c r="W139" s="126">
        <v>0</v>
      </c>
      <c r="X139" s="13">
        <v>0</v>
      </c>
      <c r="Y139" s="1">
        <v>1</v>
      </c>
      <c r="Z139" s="17">
        <v>3</v>
      </c>
      <c r="AE139" s="42">
        <v>0.23</v>
      </c>
      <c r="AF139" s="7">
        <v>0</v>
      </c>
      <c r="AG139" s="7">
        <v>1.47</v>
      </c>
      <c r="AH139" s="7">
        <v>0.16</v>
      </c>
      <c r="AI139" s="48">
        <v>0.56000000000000005</v>
      </c>
      <c r="AJ139" s="13">
        <v>0.3</v>
      </c>
      <c r="AK139" s="120">
        <v>1.46</v>
      </c>
      <c r="AL139" s="13" t="s">
        <v>207</v>
      </c>
      <c r="AM139" s="1" t="s">
        <v>210</v>
      </c>
      <c r="AN139" s="1" t="s">
        <v>210</v>
      </c>
      <c r="AO139" s="1" t="s">
        <v>199</v>
      </c>
      <c r="AP139" s="17" t="s">
        <v>199</v>
      </c>
      <c r="AQ139" s="17" t="s">
        <v>267</v>
      </c>
      <c r="AR139" s="17">
        <v>3</v>
      </c>
      <c r="AS139" s="120">
        <v>5</v>
      </c>
      <c r="AT139" s="120">
        <v>0.43</v>
      </c>
      <c r="AY139" s="1"/>
    </row>
    <row r="140" spans="1:51">
      <c r="A140" s="1" t="s">
        <v>70</v>
      </c>
      <c r="B140" s="80">
        <v>40729</v>
      </c>
      <c r="C140" s="16" t="s">
        <v>203</v>
      </c>
      <c r="AP140" s="17"/>
      <c r="AQ140" s="17" t="s">
        <v>267</v>
      </c>
      <c r="AR140" s="17">
        <v>3</v>
      </c>
      <c r="AS140" s="120">
        <v>3</v>
      </c>
      <c r="AT140" s="120">
        <v>0.48</v>
      </c>
      <c r="AY140" s="1"/>
    </row>
    <row r="141" spans="1:51">
      <c r="A141" s="1" t="s">
        <v>70</v>
      </c>
      <c r="B141" s="80">
        <v>40729</v>
      </c>
      <c r="C141" s="16" t="s">
        <v>200</v>
      </c>
      <c r="D141" s="106">
        <v>0.2</v>
      </c>
      <c r="E141" s="10">
        <v>0.62</v>
      </c>
      <c r="F141" s="1" t="s">
        <v>225</v>
      </c>
      <c r="G141" s="120">
        <v>50</v>
      </c>
      <c r="H141" s="106">
        <v>0.5</v>
      </c>
      <c r="I141" s="10">
        <v>0.56999999999999995</v>
      </c>
      <c r="J141" s="1" t="s">
        <v>199</v>
      </c>
      <c r="K141" s="17">
        <v>100</v>
      </c>
      <c r="L141" s="106">
        <v>0.8</v>
      </c>
      <c r="M141" s="10">
        <v>0.46</v>
      </c>
      <c r="N141" s="1" t="s">
        <v>199</v>
      </c>
      <c r="O141" s="17">
        <v>100</v>
      </c>
      <c r="P141" s="42">
        <v>1.1000000000000001</v>
      </c>
      <c r="Q141" s="7">
        <v>0.39</v>
      </c>
      <c r="R141" s="1" t="s">
        <v>201</v>
      </c>
      <c r="S141" s="15">
        <v>100</v>
      </c>
      <c r="T141" s="42">
        <v>1.4</v>
      </c>
      <c r="U141" s="7">
        <v>0.28000000000000003</v>
      </c>
      <c r="V141" s="7" t="s">
        <v>201</v>
      </c>
      <c r="W141" s="126">
        <v>100</v>
      </c>
      <c r="X141" s="13">
        <v>0</v>
      </c>
      <c r="Y141" s="1">
        <v>2</v>
      </c>
      <c r="Z141" s="17">
        <v>4</v>
      </c>
      <c r="AE141" s="42">
        <v>0.6</v>
      </c>
      <c r="AF141" s="7">
        <v>0</v>
      </c>
      <c r="AG141" s="7">
        <v>1.53</v>
      </c>
      <c r="AH141" s="7">
        <v>0.62</v>
      </c>
      <c r="AI141" s="48">
        <v>0.11</v>
      </c>
      <c r="AJ141" s="13">
        <v>0.54</v>
      </c>
      <c r="AK141" s="120">
        <v>0.9</v>
      </c>
      <c r="AL141" s="13" t="s">
        <v>269</v>
      </c>
      <c r="AM141" s="1" t="s">
        <v>207</v>
      </c>
      <c r="AN141" s="1" t="s">
        <v>207</v>
      </c>
      <c r="AO141" s="1" t="s">
        <v>269</v>
      </c>
      <c r="AP141" s="17" t="s">
        <v>269</v>
      </c>
      <c r="AQ141" s="17" t="s">
        <v>245</v>
      </c>
      <c r="AR141" s="17">
        <v>2</v>
      </c>
      <c r="AS141" s="120">
        <v>3</v>
      </c>
      <c r="AT141" s="120">
        <v>0.72</v>
      </c>
      <c r="AY141" s="1"/>
    </row>
    <row r="142" spans="1:51">
      <c r="A142" s="1" t="s">
        <v>70</v>
      </c>
      <c r="B142" s="80">
        <v>40729</v>
      </c>
      <c r="C142" s="16" t="s">
        <v>198</v>
      </c>
      <c r="D142" s="106">
        <v>0.15</v>
      </c>
      <c r="E142" s="10">
        <v>0.1</v>
      </c>
      <c r="F142" s="1" t="s">
        <v>210</v>
      </c>
      <c r="G142" s="120">
        <v>0</v>
      </c>
      <c r="H142" s="106">
        <v>0.3</v>
      </c>
      <c r="I142" s="10">
        <v>0.14000000000000001</v>
      </c>
      <c r="J142" s="1" t="s">
        <v>207</v>
      </c>
      <c r="K142" s="17">
        <v>0</v>
      </c>
      <c r="L142" s="106">
        <v>0.5</v>
      </c>
      <c r="M142" s="10">
        <v>0.13</v>
      </c>
      <c r="N142" s="1" t="s">
        <v>207</v>
      </c>
      <c r="O142" s="17">
        <v>0</v>
      </c>
      <c r="P142" s="42">
        <v>0.9</v>
      </c>
      <c r="Q142" s="7">
        <v>0.16</v>
      </c>
      <c r="R142" s="1" t="s">
        <v>210</v>
      </c>
      <c r="S142" s="15">
        <v>50</v>
      </c>
      <c r="T142" s="42">
        <v>1.2</v>
      </c>
      <c r="U142" s="7">
        <v>0.11</v>
      </c>
      <c r="V142" s="7" t="s">
        <v>225</v>
      </c>
      <c r="W142" s="126">
        <v>0</v>
      </c>
      <c r="X142" s="13">
        <v>0</v>
      </c>
      <c r="Y142" s="1">
        <v>1</v>
      </c>
      <c r="Z142" s="17">
        <v>3</v>
      </c>
      <c r="AE142" s="42">
        <v>0</v>
      </c>
      <c r="AF142" s="7">
        <v>0</v>
      </c>
      <c r="AG142" s="7">
        <v>1.27</v>
      </c>
      <c r="AH142" s="7">
        <v>0.19</v>
      </c>
      <c r="AI142" s="48">
        <v>0.59</v>
      </c>
      <c r="AP142" s="17"/>
      <c r="AQ142" s="17"/>
      <c r="AR142" s="17"/>
      <c r="AS142" s="120"/>
      <c r="AT142" s="120"/>
      <c r="AY142" s="1"/>
    </row>
    <row r="143" spans="1:51">
      <c r="A143" s="1" t="s">
        <v>76</v>
      </c>
      <c r="B143" s="80">
        <v>40736</v>
      </c>
      <c r="C143" s="16" t="s">
        <v>198</v>
      </c>
      <c r="D143" s="106">
        <v>0.1</v>
      </c>
      <c r="E143" s="10" t="s">
        <v>204</v>
      </c>
      <c r="F143" s="1" t="s">
        <v>207</v>
      </c>
      <c r="G143" s="120">
        <v>20</v>
      </c>
      <c r="H143" s="106">
        <v>0.45</v>
      </c>
      <c r="I143" s="10">
        <v>0.25</v>
      </c>
      <c r="J143" s="1" t="s">
        <v>207</v>
      </c>
      <c r="K143" s="17">
        <v>20</v>
      </c>
      <c r="L143" s="106">
        <v>0.75</v>
      </c>
      <c r="M143" s="10">
        <v>0.27</v>
      </c>
      <c r="N143" s="1" t="s">
        <v>210</v>
      </c>
      <c r="O143" s="17">
        <v>10</v>
      </c>
      <c r="P143" s="42">
        <v>1</v>
      </c>
      <c r="Q143" s="7">
        <v>0.18</v>
      </c>
      <c r="R143" s="1" t="s">
        <v>199</v>
      </c>
      <c r="S143" s="15">
        <v>100</v>
      </c>
      <c r="T143" s="42">
        <v>1.4</v>
      </c>
      <c r="U143" s="7" t="s">
        <v>204</v>
      </c>
      <c r="X143" s="13">
        <v>0</v>
      </c>
      <c r="Y143" s="1">
        <v>0</v>
      </c>
      <c r="Z143" s="17">
        <v>4</v>
      </c>
      <c r="AE143" s="42">
        <v>0.2</v>
      </c>
      <c r="AF143" s="7">
        <v>0.38</v>
      </c>
      <c r="AG143" s="7">
        <v>1.48</v>
      </c>
      <c r="AH143" s="7">
        <v>0.24</v>
      </c>
      <c r="AI143" s="48">
        <v>0.12</v>
      </c>
      <c r="AP143" s="17"/>
      <c r="AQ143" s="17"/>
      <c r="AR143" s="17"/>
      <c r="AS143" s="120"/>
      <c r="AT143" s="120"/>
      <c r="AY143" s="1"/>
    </row>
    <row r="144" spans="1:51">
      <c r="A144" s="1" t="s">
        <v>76</v>
      </c>
      <c r="B144" s="80">
        <v>40736</v>
      </c>
      <c r="C144" s="16" t="s">
        <v>220</v>
      </c>
      <c r="D144" s="106">
        <v>0.3</v>
      </c>
      <c r="E144" s="10" t="s">
        <v>204</v>
      </c>
      <c r="H144" s="106">
        <v>0.75</v>
      </c>
      <c r="I144" s="10">
        <v>0.12</v>
      </c>
      <c r="J144" s="1" t="s">
        <v>207</v>
      </c>
      <c r="K144" s="17">
        <v>10</v>
      </c>
      <c r="L144" s="106">
        <v>0.95</v>
      </c>
      <c r="M144" s="10">
        <v>0.1</v>
      </c>
      <c r="N144" s="1" t="s">
        <v>207</v>
      </c>
      <c r="O144" s="17">
        <v>10</v>
      </c>
      <c r="P144" s="42">
        <v>1.1499999999999999</v>
      </c>
      <c r="Q144" s="7">
        <v>0.06</v>
      </c>
      <c r="R144" s="1" t="s">
        <v>210</v>
      </c>
      <c r="S144" s="15">
        <v>30</v>
      </c>
      <c r="T144" s="42">
        <v>1.45</v>
      </c>
      <c r="U144" s="7" t="s">
        <v>204</v>
      </c>
      <c r="X144" s="13">
        <v>0</v>
      </c>
      <c r="Y144" s="1">
        <v>2</v>
      </c>
      <c r="Z144" s="17">
        <v>3</v>
      </c>
      <c r="AE144" s="42">
        <v>0.46</v>
      </c>
      <c r="AF144" s="7">
        <v>0.23</v>
      </c>
      <c r="AG144" s="7">
        <v>1.6</v>
      </c>
      <c r="AH144" s="7">
        <v>0.11</v>
      </c>
      <c r="AI144" s="48">
        <v>0.12</v>
      </c>
      <c r="AJ144" s="13">
        <v>0.1</v>
      </c>
      <c r="AK144" s="120">
        <v>0.53</v>
      </c>
      <c r="AL144" s="13" t="s">
        <v>210</v>
      </c>
      <c r="AM144" s="1" t="s">
        <v>284</v>
      </c>
      <c r="AN144" s="1" t="s">
        <v>202</v>
      </c>
      <c r="AO144" s="1" t="s">
        <v>210</v>
      </c>
      <c r="AP144" s="17" t="s">
        <v>210</v>
      </c>
      <c r="AQ144" s="17" t="s">
        <v>233</v>
      </c>
      <c r="AR144" s="17">
        <v>1</v>
      </c>
      <c r="AS144" s="120">
        <v>1</v>
      </c>
      <c r="AT144" s="120">
        <v>0.23</v>
      </c>
      <c r="AU144" s="1" t="s">
        <v>235</v>
      </c>
      <c r="AV144" s="24" t="s">
        <v>241</v>
      </c>
      <c r="AW144" s="86">
        <v>1</v>
      </c>
      <c r="AY144" s="1"/>
    </row>
    <row r="145" spans="1:51">
      <c r="A145" s="1" t="s">
        <v>76</v>
      </c>
      <c r="B145" s="80">
        <v>40736</v>
      </c>
      <c r="C145" s="16" t="s">
        <v>219</v>
      </c>
      <c r="D145" s="106">
        <v>0.27</v>
      </c>
      <c r="E145" s="10">
        <v>0.15</v>
      </c>
      <c r="F145" s="1" t="s">
        <v>199</v>
      </c>
      <c r="G145" s="120">
        <v>100</v>
      </c>
      <c r="H145" s="106">
        <v>0.53</v>
      </c>
      <c r="I145" s="10">
        <v>0.16</v>
      </c>
      <c r="J145" s="1" t="s">
        <v>210</v>
      </c>
      <c r="K145" s="17">
        <v>10</v>
      </c>
      <c r="L145" s="106">
        <v>0.8</v>
      </c>
      <c r="M145" s="10">
        <v>0.12</v>
      </c>
      <c r="N145" s="1" t="s">
        <v>210</v>
      </c>
      <c r="O145" s="17">
        <v>10</v>
      </c>
      <c r="P145" s="42">
        <v>1.07</v>
      </c>
      <c r="Q145" s="7">
        <v>0.12</v>
      </c>
      <c r="R145" s="1" t="s">
        <v>210</v>
      </c>
      <c r="S145" s="15">
        <v>30</v>
      </c>
      <c r="T145" s="42">
        <v>1.36</v>
      </c>
      <c r="U145" s="7">
        <v>10</v>
      </c>
      <c r="V145" s="7" t="s">
        <v>210</v>
      </c>
      <c r="W145" s="126">
        <v>20</v>
      </c>
      <c r="X145" s="13">
        <v>1</v>
      </c>
      <c r="Y145" s="1">
        <v>3</v>
      </c>
      <c r="Z145" s="17">
        <v>1</v>
      </c>
      <c r="AE145" s="42">
        <v>0</v>
      </c>
      <c r="AF145" s="7">
        <v>0</v>
      </c>
      <c r="AG145" s="7">
        <v>1.44</v>
      </c>
      <c r="AH145" s="7">
        <v>0.15</v>
      </c>
      <c r="AI145" s="48">
        <v>0.19</v>
      </c>
      <c r="AJ145" s="13">
        <v>0.11</v>
      </c>
      <c r="AL145" s="13" t="s">
        <v>210</v>
      </c>
      <c r="AM145" s="1" t="s">
        <v>210</v>
      </c>
      <c r="AN145" s="1" t="s">
        <v>210</v>
      </c>
      <c r="AO145" s="1" t="s">
        <v>210</v>
      </c>
      <c r="AP145" s="17" t="s">
        <v>210</v>
      </c>
      <c r="AQ145" s="17"/>
      <c r="AR145" s="17"/>
      <c r="AS145" s="120"/>
      <c r="AT145" s="120"/>
      <c r="AY145" s="1"/>
    </row>
    <row r="146" spans="1:51">
      <c r="A146" s="1" t="s">
        <v>76</v>
      </c>
      <c r="B146" s="80">
        <v>40736</v>
      </c>
      <c r="C146" s="16" t="s">
        <v>208</v>
      </c>
      <c r="D146" s="106">
        <v>0.21</v>
      </c>
      <c r="E146" s="10">
        <v>0.23</v>
      </c>
      <c r="F146" s="1" t="s">
        <v>201</v>
      </c>
      <c r="G146" s="120">
        <v>100</v>
      </c>
      <c r="H146" s="106">
        <v>0.54</v>
      </c>
      <c r="I146" s="10">
        <v>0.28000000000000003</v>
      </c>
      <c r="J146" s="1" t="s">
        <v>201</v>
      </c>
      <c r="K146" s="17">
        <v>100</v>
      </c>
      <c r="L146" s="106">
        <v>0.9</v>
      </c>
      <c r="M146" s="10">
        <v>0.21</v>
      </c>
      <c r="N146" s="1" t="s">
        <v>202</v>
      </c>
      <c r="O146" s="17">
        <v>0</v>
      </c>
      <c r="P146" s="42">
        <v>1.2</v>
      </c>
      <c r="Q146" s="7">
        <v>20</v>
      </c>
      <c r="R146" s="1" t="s">
        <v>285</v>
      </c>
      <c r="S146" s="15">
        <v>0</v>
      </c>
      <c r="T146" s="42">
        <v>1.3</v>
      </c>
      <c r="U146" s="7">
        <v>0.23</v>
      </c>
      <c r="V146" s="7" t="s">
        <v>201</v>
      </c>
      <c r="W146" s="126">
        <v>100</v>
      </c>
      <c r="X146" s="13">
        <v>0</v>
      </c>
      <c r="Y146" s="1">
        <v>0</v>
      </c>
      <c r="Z146" s="17">
        <v>1</v>
      </c>
      <c r="AE146" s="42">
        <v>0</v>
      </c>
      <c r="AF146" s="7">
        <v>0</v>
      </c>
      <c r="AG146" s="7">
        <v>1.6</v>
      </c>
      <c r="AH146" s="7">
        <v>0.31</v>
      </c>
      <c r="AI146" s="48">
        <v>0.02</v>
      </c>
      <c r="AJ146" s="13">
        <v>0.33</v>
      </c>
      <c r="AK146" s="120">
        <v>1</v>
      </c>
      <c r="AL146" s="13" t="s">
        <v>202</v>
      </c>
      <c r="AM146" s="1" t="s">
        <v>202</v>
      </c>
      <c r="AN146" s="1" t="s">
        <v>202</v>
      </c>
      <c r="AO146" s="1" t="s">
        <v>202</v>
      </c>
      <c r="AP146" s="17" t="s">
        <v>201</v>
      </c>
      <c r="AQ146" s="17" t="s">
        <v>218</v>
      </c>
      <c r="AR146" s="17">
        <v>6</v>
      </c>
      <c r="AS146" s="120">
        <v>1.58</v>
      </c>
      <c r="AT146" s="120">
        <v>0.41</v>
      </c>
      <c r="AU146" s="1" t="s">
        <v>235</v>
      </c>
      <c r="AV146" s="24" t="s">
        <v>241</v>
      </c>
      <c r="AW146" s="86">
        <v>3</v>
      </c>
      <c r="AY146" s="1"/>
    </row>
    <row r="147" spans="1:51">
      <c r="A147" s="1" t="s">
        <v>76</v>
      </c>
      <c r="B147" s="80">
        <v>40736</v>
      </c>
      <c r="C147" s="16" t="s">
        <v>208</v>
      </c>
      <c r="AP147" s="17"/>
      <c r="AQ147" s="17"/>
      <c r="AR147" s="17"/>
      <c r="AS147" s="120"/>
      <c r="AT147" s="120"/>
      <c r="AU147" s="1" t="s">
        <v>286</v>
      </c>
      <c r="AV147" s="24" t="s">
        <v>287</v>
      </c>
      <c r="AW147" s="86">
        <v>1</v>
      </c>
      <c r="AY147" s="1"/>
    </row>
    <row r="148" spans="1:51">
      <c r="A148" s="1" t="s">
        <v>76</v>
      </c>
      <c r="B148" s="80">
        <v>40736</v>
      </c>
      <c r="C148" s="16" t="s">
        <v>217</v>
      </c>
      <c r="D148" s="106">
        <v>0.2</v>
      </c>
      <c r="E148" s="10" t="s">
        <v>204</v>
      </c>
      <c r="F148" s="1" t="s">
        <v>199</v>
      </c>
      <c r="G148" s="120">
        <v>100</v>
      </c>
      <c r="H148" s="106">
        <v>0.39</v>
      </c>
      <c r="I148" s="10">
        <v>0.18</v>
      </c>
      <c r="J148" s="1" t="s">
        <v>199</v>
      </c>
      <c r="K148" s="17">
        <v>100</v>
      </c>
      <c r="L148" s="106">
        <v>0.5</v>
      </c>
      <c r="M148" s="10">
        <v>0.26</v>
      </c>
      <c r="N148" s="1" t="s">
        <v>225</v>
      </c>
      <c r="O148" s="17">
        <v>75</v>
      </c>
      <c r="P148" s="42">
        <v>0.78</v>
      </c>
      <c r="Q148" s="7">
        <v>0.27</v>
      </c>
      <c r="R148" s="1" t="s">
        <v>199</v>
      </c>
      <c r="S148" s="15">
        <v>100</v>
      </c>
      <c r="T148" s="42">
        <v>1</v>
      </c>
      <c r="U148" s="7" t="s">
        <v>204</v>
      </c>
      <c r="V148" s="7" t="s">
        <v>210</v>
      </c>
      <c r="W148" s="126">
        <v>50</v>
      </c>
      <c r="X148" s="13">
        <v>0</v>
      </c>
      <c r="Y148" s="1">
        <v>1</v>
      </c>
      <c r="Z148" s="17">
        <v>1</v>
      </c>
      <c r="AE148" s="42">
        <v>0.24</v>
      </c>
      <c r="AF148" s="7">
        <v>0.25</v>
      </c>
      <c r="AG148" s="7">
        <v>1</v>
      </c>
      <c r="AH148" s="7">
        <v>0.25</v>
      </c>
      <c r="AI148" s="48">
        <v>0.15</v>
      </c>
      <c r="AJ148" s="13">
        <v>0.2</v>
      </c>
      <c r="AK148" s="120">
        <v>1.3</v>
      </c>
      <c r="AL148" s="13" t="s">
        <v>199</v>
      </c>
      <c r="AM148" s="1" t="s">
        <v>202</v>
      </c>
      <c r="AN148" s="1" t="s">
        <v>199</v>
      </c>
      <c r="AO148" s="1" t="s">
        <v>199</v>
      </c>
      <c r="AP148" s="17" t="s">
        <v>199</v>
      </c>
      <c r="AQ148" s="17"/>
      <c r="AR148" s="17"/>
      <c r="AS148" s="120"/>
      <c r="AT148" s="120"/>
      <c r="AY148" s="1"/>
    </row>
    <row r="149" spans="1:51">
      <c r="A149" s="1" t="s">
        <v>76</v>
      </c>
      <c r="B149" s="80">
        <v>40736</v>
      </c>
      <c r="C149" s="16" t="s">
        <v>200</v>
      </c>
      <c r="D149" s="106">
        <v>0.1</v>
      </c>
      <c r="E149" s="10" t="s">
        <v>204</v>
      </c>
      <c r="H149" s="106">
        <v>0.6</v>
      </c>
      <c r="I149" s="10">
        <v>0.03</v>
      </c>
      <c r="J149" s="1" t="s">
        <v>225</v>
      </c>
      <c r="K149" s="17">
        <v>75</v>
      </c>
      <c r="L149" s="106">
        <v>0.8</v>
      </c>
      <c r="M149" s="10">
        <v>0.19</v>
      </c>
      <c r="N149" s="1" t="s">
        <v>199</v>
      </c>
      <c r="O149" s="17">
        <v>100</v>
      </c>
      <c r="P149" s="42">
        <v>1.1499999999999999</v>
      </c>
      <c r="Q149" s="7">
        <v>0.17</v>
      </c>
      <c r="R149" s="1" t="s">
        <v>199</v>
      </c>
      <c r="S149" s="15">
        <v>100</v>
      </c>
      <c r="T149" s="42">
        <v>1.5</v>
      </c>
      <c r="U149" s="7" t="s">
        <v>204</v>
      </c>
      <c r="X149" s="13">
        <v>0</v>
      </c>
      <c r="Y149" s="1">
        <v>1</v>
      </c>
      <c r="Z149" s="17">
        <v>4</v>
      </c>
      <c r="AE149" s="42">
        <v>0.44</v>
      </c>
      <c r="AF149" s="7">
        <v>0.39</v>
      </c>
      <c r="AG149" s="7">
        <v>1.63</v>
      </c>
      <c r="AH149" s="7">
        <v>0.17</v>
      </c>
      <c r="AI149" s="48">
        <v>0.26</v>
      </c>
      <c r="AJ149" s="13">
        <v>0.05</v>
      </c>
      <c r="AK149" s="120">
        <v>1.1399999999999999</v>
      </c>
      <c r="AL149" s="13" t="s">
        <v>199</v>
      </c>
      <c r="AM149" s="1" t="s">
        <v>199</v>
      </c>
      <c r="AN149" s="1" t="s">
        <v>199</v>
      </c>
      <c r="AO149" s="1" t="s">
        <v>199</v>
      </c>
      <c r="AP149" s="17" t="s">
        <v>199</v>
      </c>
      <c r="AQ149" s="17"/>
      <c r="AR149" s="17"/>
      <c r="AS149" s="120"/>
      <c r="AT149" s="120"/>
      <c r="AU149" s="1" t="s">
        <v>235</v>
      </c>
      <c r="AV149" s="24" t="s">
        <v>241</v>
      </c>
      <c r="AW149" s="86">
        <v>1</v>
      </c>
      <c r="AY149" s="1"/>
    </row>
    <row r="150" spans="1:51">
      <c r="A150" s="1" t="s">
        <v>76</v>
      </c>
      <c r="B150" s="80">
        <v>40736</v>
      </c>
      <c r="C150" s="16" t="s">
        <v>203</v>
      </c>
      <c r="D150" s="106">
        <v>0.1</v>
      </c>
      <c r="E150" s="10">
        <v>0.05</v>
      </c>
      <c r="F150" s="1" t="s">
        <v>199</v>
      </c>
      <c r="G150" s="120">
        <v>100</v>
      </c>
      <c r="H150" s="106">
        <v>0.45</v>
      </c>
      <c r="I150" s="10">
        <v>0.15</v>
      </c>
      <c r="J150" s="1" t="s">
        <v>202</v>
      </c>
      <c r="K150" s="17">
        <v>0</v>
      </c>
      <c r="L150" s="106">
        <v>0.7</v>
      </c>
      <c r="M150" s="10">
        <v>0.22</v>
      </c>
      <c r="N150" s="1" t="s">
        <v>202</v>
      </c>
      <c r="O150" s="17">
        <v>0</v>
      </c>
      <c r="P150" s="42">
        <v>0.95</v>
      </c>
      <c r="Q150" s="7" t="s">
        <v>204</v>
      </c>
      <c r="R150" s="1" t="s">
        <v>199</v>
      </c>
      <c r="S150" s="15">
        <v>100</v>
      </c>
      <c r="T150" s="42">
        <v>1.1000000000000001</v>
      </c>
      <c r="U150" s="7" t="s">
        <v>204</v>
      </c>
      <c r="V150" s="7" t="s">
        <v>199</v>
      </c>
      <c r="W150" s="126">
        <v>100</v>
      </c>
      <c r="X150" s="13">
        <v>0</v>
      </c>
      <c r="Y150" s="1">
        <v>0</v>
      </c>
      <c r="Z150" s="17">
        <v>3</v>
      </c>
      <c r="AE150" s="42">
        <v>0</v>
      </c>
      <c r="AF150" s="7">
        <v>0.55000000000000004</v>
      </c>
      <c r="AG150" s="7">
        <v>1.17</v>
      </c>
      <c r="AH150" s="7">
        <v>0.2</v>
      </c>
      <c r="AI150" s="48">
        <v>0.15</v>
      </c>
      <c r="AJ150" s="13">
        <v>0.28000000000000003</v>
      </c>
      <c r="AK150" s="120">
        <v>1.23</v>
      </c>
      <c r="AL150" s="13" t="s">
        <v>199</v>
      </c>
      <c r="AM150" s="1" t="s">
        <v>199</v>
      </c>
      <c r="AN150" s="1" t="s">
        <v>199</v>
      </c>
      <c r="AO150" s="1" t="s">
        <v>199</v>
      </c>
      <c r="AP150" s="17" t="s">
        <v>199</v>
      </c>
      <c r="AQ150" s="17"/>
      <c r="AR150" s="17"/>
      <c r="AS150" s="120"/>
      <c r="AT150" s="120"/>
      <c r="AU150" s="1" t="s">
        <v>286</v>
      </c>
      <c r="AV150" s="24" t="s">
        <v>241</v>
      </c>
      <c r="AW150" s="86">
        <v>2</v>
      </c>
      <c r="AY150" s="1"/>
    </row>
    <row r="151" spans="1:51">
      <c r="A151" s="1" t="s">
        <v>95</v>
      </c>
      <c r="B151" s="80">
        <v>40735</v>
      </c>
      <c r="C151" s="16" t="s">
        <v>198</v>
      </c>
      <c r="D151" s="106">
        <v>0.21</v>
      </c>
      <c r="E151" s="10">
        <v>0.21</v>
      </c>
      <c r="F151" s="1" t="s">
        <v>225</v>
      </c>
      <c r="G151" s="120">
        <v>50</v>
      </c>
      <c r="H151" s="106">
        <v>0.48</v>
      </c>
      <c r="I151" s="10">
        <v>0.17</v>
      </c>
      <c r="J151" s="1" t="s">
        <v>228</v>
      </c>
      <c r="K151" s="17">
        <v>70</v>
      </c>
      <c r="L151" s="106">
        <v>0.68</v>
      </c>
      <c r="M151" s="10">
        <v>0.08</v>
      </c>
      <c r="N151" s="1" t="s">
        <v>210</v>
      </c>
      <c r="O151" s="17">
        <v>0</v>
      </c>
      <c r="P151" s="42">
        <v>0.99</v>
      </c>
      <c r="Q151" s="7">
        <v>7.0000000000000007E-2</v>
      </c>
      <c r="R151" s="1" t="s">
        <v>210</v>
      </c>
      <c r="S151" s="15">
        <v>25</v>
      </c>
      <c r="T151" s="42">
        <v>1.2</v>
      </c>
      <c r="U151" s="7">
        <v>0.04</v>
      </c>
      <c r="V151" s="7" t="s">
        <v>225</v>
      </c>
      <c r="W151" s="126">
        <v>50</v>
      </c>
      <c r="X151" s="13">
        <v>0</v>
      </c>
      <c r="Y151" s="1">
        <v>1</v>
      </c>
      <c r="Z151" s="17">
        <v>3</v>
      </c>
      <c r="AA151" s="13">
        <v>24</v>
      </c>
      <c r="AB151" s="1">
        <v>1</v>
      </c>
      <c r="AC151" s="1">
        <v>5</v>
      </c>
      <c r="AD151" s="17">
        <v>37</v>
      </c>
      <c r="AE151" s="42">
        <v>0.18</v>
      </c>
      <c r="AF151" s="7">
        <v>0.06</v>
      </c>
      <c r="AG151" s="7">
        <v>1.43</v>
      </c>
      <c r="AH151" s="7">
        <v>0.21</v>
      </c>
      <c r="AI151" s="48">
        <v>0.9</v>
      </c>
      <c r="AJ151" s="13">
        <v>0.08</v>
      </c>
      <c r="AK151" s="120">
        <v>1.65</v>
      </c>
      <c r="AL151" s="13" t="s">
        <v>225</v>
      </c>
      <c r="AM151" s="1" t="s">
        <v>210</v>
      </c>
      <c r="AN151" s="1" t="s">
        <v>210</v>
      </c>
      <c r="AO151" s="1" t="s">
        <v>210</v>
      </c>
      <c r="AP151" s="17" t="s">
        <v>210</v>
      </c>
      <c r="AQ151" s="17"/>
      <c r="AR151" s="17"/>
      <c r="AS151" s="120"/>
      <c r="AT151" s="120"/>
      <c r="AY151" s="1"/>
    </row>
    <row r="152" spans="1:51">
      <c r="A152" s="1" t="s">
        <v>95</v>
      </c>
      <c r="B152" s="80">
        <v>40735</v>
      </c>
      <c r="C152" s="16" t="s">
        <v>200</v>
      </c>
      <c r="D152" s="106">
        <v>0.1</v>
      </c>
      <c r="E152" s="10">
        <v>0.06</v>
      </c>
      <c r="F152" s="1" t="s">
        <v>199</v>
      </c>
      <c r="G152" s="120">
        <v>100</v>
      </c>
      <c r="H152" s="106">
        <v>0.32</v>
      </c>
      <c r="I152" s="10">
        <v>0.12</v>
      </c>
      <c r="J152" s="1" t="s">
        <v>210</v>
      </c>
      <c r="K152" s="17">
        <v>75</v>
      </c>
      <c r="L152" s="106">
        <v>0.64</v>
      </c>
      <c r="M152" s="10">
        <v>0.09</v>
      </c>
      <c r="N152" s="1" t="s">
        <v>225</v>
      </c>
      <c r="O152" s="17">
        <v>75</v>
      </c>
      <c r="P152" s="42">
        <v>1</v>
      </c>
      <c r="Q152" s="7">
        <v>0.05</v>
      </c>
      <c r="R152" s="1" t="s">
        <v>210</v>
      </c>
      <c r="S152" s="15">
        <v>85</v>
      </c>
      <c r="T152" s="42">
        <v>1.2</v>
      </c>
      <c r="U152" s="7">
        <v>0.02</v>
      </c>
      <c r="V152" s="7" t="s">
        <v>290</v>
      </c>
      <c r="W152" s="126">
        <v>100</v>
      </c>
      <c r="X152" s="13">
        <v>0</v>
      </c>
      <c r="Y152" s="1">
        <v>1</v>
      </c>
      <c r="Z152" s="17">
        <v>3</v>
      </c>
      <c r="AA152" s="13">
        <v>9</v>
      </c>
      <c r="AB152" s="1">
        <v>40</v>
      </c>
      <c r="AC152" s="1">
        <v>3</v>
      </c>
      <c r="AD152" s="17">
        <v>10</v>
      </c>
      <c r="AE152" s="42">
        <v>0</v>
      </c>
      <c r="AF152" s="7">
        <v>0</v>
      </c>
      <c r="AG152" s="7">
        <v>1.74</v>
      </c>
      <c r="AH152" s="7">
        <v>0.13</v>
      </c>
      <c r="AI152" s="48">
        <v>0.39</v>
      </c>
      <c r="AJ152" s="13">
        <v>0.1</v>
      </c>
      <c r="AK152" s="120">
        <v>1.2</v>
      </c>
      <c r="AL152" s="13" t="s">
        <v>225</v>
      </c>
      <c r="AM152" s="1" t="s">
        <v>225</v>
      </c>
      <c r="AN152" s="1" t="s">
        <v>210</v>
      </c>
      <c r="AO152" s="1" t="s">
        <v>210</v>
      </c>
      <c r="AP152" s="17" t="s">
        <v>225</v>
      </c>
      <c r="AQ152" s="17" t="s">
        <v>267</v>
      </c>
      <c r="AR152" s="17">
        <v>2</v>
      </c>
      <c r="AS152" s="120">
        <v>2</v>
      </c>
      <c r="AT152" s="120">
        <v>0.3</v>
      </c>
      <c r="AY152" s="1"/>
    </row>
    <row r="153" spans="1:51">
      <c r="A153" s="1" t="s">
        <v>95</v>
      </c>
      <c r="B153" s="80">
        <v>40735</v>
      </c>
      <c r="C153" s="16" t="s">
        <v>220</v>
      </c>
      <c r="D153" s="106">
        <v>0.5</v>
      </c>
      <c r="E153" s="10">
        <v>0.09</v>
      </c>
      <c r="F153" s="1" t="s">
        <v>201</v>
      </c>
      <c r="G153" s="120">
        <v>100</v>
      </c>
      <c r="H153" s="106">
        <v>1</v>
      </c>
      <c r="I153" s="10">
        <v>0.13</v>
      </c>
      <c r="J153" s="1" t="s">
        <v>201</v>
      </c>
      <c r="K153" s="17">
        <v>100</v>
      </c>
      <c r="L153" s="106">
        <v>1.3</v>
      </c>
      <c r="M153" s="10">
        <v>0.17</v>
      </c>
      <c r="N153" s="1" t="s">
        <v>201</v>
      </c>
      <c r="O153" s="17">
        <v>100</v>
      </c>
      <c r="P153" s="42">
        <v>1.8</v>
      </c>
      <c r="Q153" s="7">
        <v>0.21</v>
      </c>
      <c r="R153" s="1" t="s">
        <v>201</v>
      </c>
      <c r="S153" s="15">
        <v>100</v>
      </c>
      <c r="T153" s="42">
        <v>2.7</v>
      </c>
      <c r="U153" s="7">
        <v>0.14000000000000001</v>
      </c>
      <c r="V153" s="7" t="s">
        <v>201</v>
      </c>
      <c r="W153" s="126">
        <v>100</v>
      </c>
      <c r="X153" s="13">
        <v>0</v>
      </c>
      <c r="Y153" s="1">
        <v>0</v>
      </c>
      <c r="Z153" s="17">
        <v>0</v>
      </c>
      <c r="AA153" s="13">
        <v>0</v>
      </c>
      <c r="AB153" s="1">
        <v>10</v>
      </c>
      <c r="AC153" s="1">
        <v>0</v>
      </c>
      <c r="AD153" s="17">
        <v>0</v>
      </c>
      <c r="AE153" s="42">
        <v>0</v>
      </c>
      <c r="AF153" s="7">
        <v>0</v>
      </c>
      <c r="AG153" s="7">
        <v>2.75</v>
      </c>
      <c r="AH153" s="7">
        <v>0.22</v>
      </c>
      <c r="AI153" s="48">
        <v>0.05</v>
      </c>
      <c r="AP153" s="17"/>
      <c r="AQ153" s="17"/>
      <c r="AR153" s="17"/>
      <c r="AS153" s="120"/>
      <c r="AT153" s="120"/>
      <c r="AY153" s="1" t="s">
        <v>291</v>
      </c>
    </row>
    <row r="154" spans="1:51">
      <c r="A154" s="1" t="s">
        <v>95</v>
      </c>
      <c r="B154" s="80">
        <v>40735</v>
      </c>
      <c r="C154" s="16" t="s">
        <v>219</v>
      </c>
      <c r="D154" s="106">
        <v>0.4</v>
      </c>
      <c r="E154" s="10">
        <v>0.04</v>
      </c>
      <c r="F154" s="1" t="s">
        <v>225</v>
      </c>
      <c r="G154" s="120">
        <v>65</v>
      </c>
      <c r="H154" s="106">
        <v>1</v>
      </c>
      <c r="I154" s="10">
        <v>0.02</v>
      </c>
      <c r="J154" s="1" t="s">
        <v>225</v>
      </c>
      <c r="K154" s="17">
        <v>80</v>
      </c>
      <c r="L154" s="106">
        <v>1.4</v>
      </c>
      <c r="M154" s="10">
        <v>0.02</v>
      </c>
      <c r="N154" s="1" t="s">
        <v>210</v>
      </c>
      <c r="O154" s="17">
        <v>30</v>
      </c>
      <c r="P154" s="42">
        <v>2.2000000000000002</v>
      </c>
      <c r="Q154" s="7">
        <v>0.11</v>
      </c>
      <c r="R154" s="1" t="s">
        <v>210</v>
      </c>
      <c r="S154" s="15">
        <v>50</v>
      </c>
      <c r="T154" s="42">
        <v>0</v>
      </c>
      <c r="U154" s="7">
        <v>0</v>
      </c>
      <c r="V154" s="7">
        <v>3</v>
      </c>
      <c r="W154" s="126">
        <v>0</v>
      </c>
      <c r="X154" s="13">
        <v>0</v>
      </c>
      <c r="Y154" s="1">
        <v>50</v>
      </c>
      <c r="Z154" s="17">
        <v>2</v>
      </c>
      <c r="AA154" s="13">
        <v>0</v>
      </c>
      <c r="AB154" s="1">
        <v>0</v>
      </c>
      <c r="AC154" s="1">
        <v>50</v>
      </c>
      <c r="AD154" s="17">
        <v>2</v>
      </c>
      <c r="AE154" s="42">
        <v>0</v>
      </c>
      <c r="AF154" s="7">
        <v>0</v>
      </c>
      <c r="AG154" s="7">
        <v>2.42</v>
      </c>
      <c r="AH154" s="7">
        <v>7.0000000000000007E-2</v>
      </c>
      <c r="AI154" s="48">
        <v>0.54</v>
      </c>
      <c r="AJ154" s="13">
        <v>0.09</v>
      </c>
      <c r="AK154" s="120">
        <v>2.4300000000000002</v>
      </c>
      <c r="AL154" s="13" t="s">
        <v>199</v>
      </c>
      <c r="AM154" s="1" t="s">
        <v>225</v>
      </c>
      <c r="AN154" s="1" t="s">
        <v>210</v>
      </c>
      <c r="AO154" s="1" t="s">
        <v>210</v>
      </c>
      <c r="AP154" s="17" t="s">
        <v>210</v>
      </c>
      <c r="AQ154" s="17" t="s">
        <v>233</v>
      </c>
      <c r="AR154" s="17">
        <v>0.4</v>
      </c>
      <c r="AS154" s="120">
        <v>0.6</v>
      </c>
      <c r="AT154" s="120">
        <v>0.08</v>
      </c>
      <c r="AY154" s="1"/>
    </row>
    <row r="155" spans="1:51">
      <c r="A155" s="1" t="s">
        <v>95</v>
      </c>
      <c r="B155" s="80">
        <v>40735</v>
      </c>
      <c r="C155" s="16" t="s">
        <v>219</v>
      </c>
      <c r="AP155" s="17"/>
      <c r="AQ155" s="17" t="s">
        <v>233</v>
      </c>
      <c r="AR155" s="17">
        <v>3.5</v>
      </c>
      <c r="AS155" s="120">
        <v>3</v>
      </c>
      <c r="AT155" s="120">
        <v>0.15</v>
      </c>
      <c r="AY155" s="1" t="s">
        <v>292</v>
      </c>
    </row>
    <row r="156" spans="1:51">
      <c r="A156" s="1" t="s">
        <v>95</v>
      </c>
      <c r="B156" s="80">
        <v>40735</v>
      </c>
      <c r="C156" s="16" t="s">
        <v>208</v>
      </c>
      <c r="D156" s="106">
        <v>0.25</v>
      </c>
      <c r="E156" s="10">
        <v>0.05</v>
      </c>
      <c r="F156" s="1" t="s">
        <v>210</v>
      </c>
      <c r="G156" s="120">
        <v>20</v>
      </c>
      <c r="H156" s="106">
        <v>0.5</v>
      </c>
      <c r="I156" s="10">
        <v>0.08</v>
      </c>
      <c r="J156" s="1" t="s">
        <v>225</v>
      </c>
      <c r="K156" s="17">
        <v>50</v>
      </c>
      <c r="L156" s="106">
        <v>1</v>
      </c>
      <c r="M156" s="10">
        <v>0.01</v>
      </c>
      <c r="N156" s="1" t="s">
        <v>225</v>
      </c>
      <c r="O156" s="17">
        <v>50</v>
      </c>
      <c r="P156" s="42">
        <v>1.25</v>
      </c>
      <c r="Q156" s="7">
        <v>0.17</v>
      </c>
      <c r="R156" s="1" t="s">
        <v>207</v>
      </c>
      <c r="S156" s="15">
        <v>10</v>
      </c>
      <c r="T156" s="42">
        <v>1.5</v>
      </c>
      <c r="U156" s="7">
        <v>0.17</v>
      </c>
      <c r="V156" s="7" t="s">
        <v>210</v>
      </c>
      <c r="W156" s="126">
        <v>10</v>
      </c>
      <c r="X156" s="13">
        <v>0</v>
      </c>
      <c r="Y156" s="1">
        <v>1</v>
      </c>
      <c r="Z156" s="17">
        <v>3</v>
      </c>
      <c r="AA156" s="13">
        <v>3</v>
      </c>
      <c r="AB156" s="1">
        <v>15</v>
      </c>
      <c r="AC156" s="1">
        <v>34</v>
      </c>
      <c r="AD156" s="17">
        <v>12</v>
      </c>
      <c r="AE156" s="42">
        <v>0</v>
      </c>
      <c r="AF156" s="7">
        <v>0.2</v>
      </c>
      <c r="AG156" s="7">
        <v>1</v>
      </c>
      <c r="AH156" s="7">
        <v>0.17</v>
      </c>
      <c r="AI156" s="48">
        <v>0.05</v>
      </c>
      <c r="AJ156" s="13">
        <v>0.19</v>
      </c>
      <c r="AK156" s="120">
        <v>1.48</v>
      </c>
      <c r="AL156" s="13" t="s">
        <v>210</v>
      </c>
      <c r="AM156" s="1" t="s">
        <v>210</v>
      </c>
      <c r="AN156" s="1" t="s">
        <v>210</v>
      </c>
      <c r="AO156" s="1" t="s">
        <v>210</v>
      </c>
      <c r="AP156" s="17" t="s">
        <v>210</v>
      </c>
      <c r="AQ156" s="17"/>
      <c r="AR156" s="17"/>
      <c r="AS156" s="120"/>
      <c r="AT156" s="120"/>
      <c r="AU156" s="1" t="s">
        <v>293</v>
      </c>
      <c r="AV156" s="24" t="s">
        <v>241</v>
      </c>
      <c r="AW156" s="86">
        <v>1</v>
      </c>
      <c r="AY156" s="1"/>
    </row>
    <row r="157" spans="1:51">
      <c r="A157" s="1" t="s">
        <v>95</v>
      </c>
      <c r="B157" s="80">
        <v>40735</v>
      </c>
      <c r="C157" s="16" t="s">
        <v>203</v>
      </c>
      <c r="D157" s="106">
        <v>0.1</v>
      </c>
      <c r="E157" s="10">
        <v>0.08</v>
      </c>
      <c r="F157" s="1" t="s">
        <v>210</v>
      </c>
      <c r="G157" s="120">
        <v>50</v>
      </c>
      <c r="H157" s="106">
        <v>0.3</v>
      </c>
      <c r="I157" s="10">
        <v>0.02</v>
      </c>
      <c r="J157" s="1" t="s">
        <v>225</v>
      </c>
      <c r="K157" s="17">
        <v>20</v>
      </c>
      <c r="L157" s="106">
        <v>0.6</v>
      </c>
      <c r="M157" s="10">
        <v>0.06</v>
      </c>
      <c r="N157" s="1" t="s">
        <v>210</v>
      </c>
      <c r="O157" s="17">
        <v>0.1</v>
      </c>
      <c r="P157" s="42">
        <v>0.75</v>
      </c>
      <c r="Q157" s="7">
        <v>0.03</v>
      </c>
      <c r="R157" s="1" t="s">
        <v>210</v>
      </c>
      <c r="S157" s="15">
        <v>10</v>
      </c>
      <c r="T157" s="42">
        <v>0.9</v>
      </c>
      <c r="U157" s="7">
        <v>0.03</v>
      </c>
      <c r="V157" s="7" t="s">
        <v>201</v>
      </c>
      <c r="W157" s="126">
        <v>100</v>
      </c>
      <c r="X157" s="13">
        <v>0</v>
      </c>
      <c r="Y157" s="1">
        <v>1</v>
      </c>
      <c r="Z157" s="17">
        <v>3</v>
      </c>
      <c r="AA157" s="13">
        <v>16</v>
      </c>
      <c r="AB157" s="1">
        <v>1</v>
      </c>
      <c r="AC157" s="1">
        <v>13</v>
      </c>
      <c r="AD157" s="17">
        <v>21</v>
      </c>
      <c r="AE157" s="42">
        <v>0.08</v>
      </c>
      <c r="AF157" s="7">
        <v>0</v>
      </c>
      <c r="AG157" s="7">
        <v>1.25</v>
      </c>
      <c r="AH157" s="7">
        <v>0.1</v>
      </c>
      <c r="AI157" s="48">
        <v>0.66</v>
      </c>
      <c r="AJ157" s="13">
        <v>0.16</v>
      </c>
      <c r="AK157" s="120">
        <v>0.65</v>
      </c>
      <c r="AL157" s="13" t="s">
        <v>228</v>
      </c>
      <c r="AM157" s="1" t="s">
        <v>228</v>
      </c>
      <c r="AN157" s="1" t="s">
        <v>228</v>
      </c>
      <c r="AO157" s="1" t="s">
        <v>228</v>
      </c>
      <c r="AP157" s="17" t="s">
        <v>225</v>
      </c>
      <c r="AQ157" s="17"/>
      <c r="AR157" s="17"/>
      <c r="AS157" s="120"/>
      <c r="AT157" s="120"/>
      <c r="AU157" s="1" t="s">
        <v>293</v>
      </c>
      <c r="AV157" s="24" t="s">
        <v>241</v>
      </c>
      <c r="AW157" s="86">
        <v>1</v>
      </c>
      <c r="AY157" s="1" t="s">
        <v>294</v>
      </c>
    </row>
    <row r="158" spans="1:51">
      <c r="A158" s="1" t="s">
        <v>95</v>
      </c>
      <c r="B158" s="80">
        <v>40735</v>
      </c>
      <c r="C158" s="16" t="s">
        <v>217</v>
      </c>
      <c r="D158" s="106">
        <v>0.19</v>
      </c>
      <c r="E158" s="10">
        <v>0.02</v>
      </c>
      <c r="F158" s="1" t="s">
        <v>210</v>
      </c>
      <c r="G158" s="120">
        <v>25</v>
      </c>
      <c r="H158" s="106">
        <v>0.55000000000000004</v>
      </c>
      <c r="I158" s="10">
        <v>0.01</v>
      </c>
      <c r="J158" s="1" t="s">
        <v>228</v>
      </c>
      <c r="K158" s="17">
        <v>90</v>
      </c>
      <c r="L158" s="106">
        <v>0.85</v>
      </c>
      <c r="M158" s="10">
        <v>0.04</v>
      </c>
      <c r="N158" s="1" t="s">
        <v>228</v>
      </c>
      <c r="O158" s="17">
        <v>90</v>
      </c>
      <c r="P158" s="42">
        <v>1.2</v>
      </c>
      <c r="Q158" s="7">
        <v>0.14000000000000001</v>
      </c>
      <c r="R158" s="1" t="s">
        <v>207</v>
      </c>
      <c r="S158" s="15">
        <v>10</v>
      </c>
      <c r="T158" s="42">
        <v>1.4</v>
      </c>
      <c r="U158" s="7">
        <v>0.04</v>
      </c>
      <c r="V158" s="7" t="s">
        <v>228</v>
      </c>
      <c r="W158" s="126">
        <v>90</v>
      </c>
      <c r="X158" s="13">
        <v>0</v>
      </c>
      <c r="Y158" s="1">
        <v>2</v>
      </c>
      <c r="Z158" s="17">
        <v>4</v>
      </c>
      <c r="AA158" s="13">
        <v>95</v>
      </c>
      <c r="AB158" s="1">
        <v>46</v>
      </c>
      <c r="AC158" s="1">
        <v>85</v>
      </c>
      <c r="AD158" s="17">
        <v>45</v>
      </c>
      <c r="AE158" s="42">
        <v>0</v>
      </c>
      <c r="AF158" s="7">
        <v>0.19</v>
      </c>
      <c r="AG158" s="7">
        <v>1.6</v>
      </c>
      <c r="AH158" s="7">
        <v>0.17</v>
      </c>
      <c r="AI158" s="48">
        <v>0.28000000000000003</v>
      </c>
      <c r="AJ158" s="13">
        <v>0.12</v>
      </c>
      <c r="AK158" s="120">
        <v>1.24</v>
      </c>
      <c r="AL158" s="13" t="s">
        <v>201</v>
      </c>
      <c r="AM158" s="1" t="s">
        <v>210</v>
      </c>
      <c r="AN158" s="1" t="s">
        <v>225</v>
      </c>
      <c r="AO158" s="1" t="s">
        <v>210</v>
      </c>
      <c r="AP158" s="17" t="s">
        <v>210</v>
      </c>
      <c r="AQ158" s="17"/>
      <c r="AR158" s="17"/>
      <c r="AS158" s="120"/>
      <c r="AT158" s="120"/>
      <c r="AY158" s="1"/>
    </row>
    <row r="159" spans="1:51">
      <c r="A159" s="1" t="s">
        <v>85</v>
      </c>
      <c r="B159" s="80">
        <v>40750</v>
      </c>
      <c r="C159" s="16" t="s">
        <v>198</v>
      </c>
      <c r="D159" s="106">
        <v>0.15</v>
      </c>
      <c r="E159" s="10">
        <v>0.22</v>
      </c>
      <c r="F159" s="1" t="s">
        <v>201</v>
      </c>
      <c r="G159" s="120">
        <v>100</v>
      </c>
      <c r="H159" s="106">
        <v>0.35</v>
      </c>
      <c r="I159" s="10">
        <v>0.3</v>
      </c>
      <c r="J159" s="1" t="s">
        <v>201</v>
      </c>
      <c r="K159" s="17">
        <v>100</v>
      </c>
      <c r="L159" s="106">
        <v>0.6</v>
      </c>
      <c r="M159" s="10">
        <v>0.32</v>
      </c>
      <c r="N159" s="1" t="s">
        <v>201</v>
      </c>
      <c r="O159" s="17">
        <v>100</v>
      </c>
      <c r="P159" s="42">
        <v>0.85</v>
      </c>
      <c r="Q159" s="7">
        <v>0.35</v>
      </c>
      <c r="R159" s="1" t="s">
        <v>201</v>
      </c>
      <c r="S159" s="15">
        <v>100</v>
      </c>
      <c r="T159" s="42">
        <v>1.1000000000000001</v>
      </c>
      <c r="U159" s="7">
        <v>0.32</v>
      </c>
      <c r="V159" s="7" t="s">
        <v>201</v>
      </c>
      <c r="W159" s="126">
        <v>100</v>
      </c>
      <c r="X159" s="13">
        <v>0</v>
      </c>
      <c r="Y159" s="1">
        <v>0</v>
      </c>
      <c r="Z159" s="17">
        <v>2</v>
      </c>
      <c r="AA159" s="13">
        <v>68</v>
      </c>
      <c r="AB159" s="1">
        <v>95</v>
      </c>
      <c r="AC159" s="1">
        <v>36</v>
      </c>
      <c r="AD159" s="17">
        <v>80</v>
      </c>
      <c r="AE159" s="42">
        <v>0</v>
      </c>
      <c r="AF159" s="7">
        <v>0</v>
      </c>
      <c r="AG159" s="7">
        <v>1.24</v>
      </c>
      <c r="AH159" s="7">
        <v>0.38</v>
      </c>
      <c r="AI159" s="48">
        <v>0.01</v>
      </c>
      <c r="AP159" s="17"/>
      <c r="AQ159" s="17"/>
      <c r="AR159" s="17"/>
      <c r="AS159" s="120"/>
      <c r="AT159" s="120"/>
      <c r="AY159" s="1"/>
    </row>
    <row r="160" spans="1:51">
      <c r="A160" s="1" t="s">
        <v>85</v>
      </c>
      <c r="B160" s="80">
        <v>40750</v>
      </c>
      <c r="C160" s="16" t="s">
        <v>219</v>
      </c>
      <c r="D160" s="106">
        <v>0.1</v>
      </c>
      <c r="E160" s="10">
        <v>0.17</v>
      </c>
      <c r="F160" s="1" t="s">
        <v>201</v>
      </c>
      <c r="G160" s="120">
        <v>100</v>
      </c>
      <c r="H160" s="106">
        <v>0.3</v>
      </c>
      <c r="I160" s="10">
        <v>0.17</v>
      </c>
      <c r="J160" s="1" t="s">
        <v>201</v>
      </c>
      <c r="K160" s="17">
        <v>100</v>
      </c>
      <c r="L160" s="106">
        <v>0.5</v>
      </c>
      <c r="M160" s="10">
        <v>0.16</v>
      </c>
      <c r="N160" s="1" t="s">
        <v>201</v>
      </c>
      <c r="O160" s="17">
        <v>100</v>
      </c>
      <c r="P160" s="42">
        <v>0.7</v>
      </c>
      <c r="Q160" s="7">
        <v>0.17</v>
      </c>
      <c r="R160" s="1" t="s">
        <v>201</v>
      </c>
      <c r="S160" s="15">
        <v>100</v>
      </c>
      <c r="T160" s="42">
        <v>0.9</v>
      </c>
      <c r="U160" s="7">
        <v>0.09</v>
      </c>
      <c r="V160" s="7" t="s">
        <v>201</v>
      </c>
      <c r="W160" s="126">
        <v>100</v>
      </c>
      <c r="X160" s="13">
        <v>0</v>
      </c>
      <c r="Y160" s="1">
        <v>0</v>
      </c>
      <c r="Z160" s="17">
        <v>4</v>
      </c>
      <c r="AA160" s="13">
        <v>96</v>
      </c>
      <c r="AB160" s="1">
        <v>96</v>
      </c>
      <c r="AC160" s="1">
        <v>96</v>
      </c>
      <c r="AD160" s="17">
        <v>87</v>
      </c>
      <c r="AE160" s="42">
        <v>0.23</v>
      </c>
      <c r="AF160" s="7">
        <v>0</v>
      </c>
      <c r="AG160" s="7">
        <v>1.1399999999999999</v>
      </c>
      <c r="AH160" s="7">
        <v>0.17</v>
      </c>
      <c r="AI160" s="48">
        <v>0.02</v>
      </c>
      <c r="AJ160" s="13">
        <v>0.55000000000000004</v>
      </c>
      <c r="AK160" s="120">
        <v>1.31</v>
      </c>
      <c r="AL160" s="13" t="s">
        <v>201</v>
      </c>
      <c r="AM160" s="1" t="s">
        <v>201</v>
      </c>
      <c r="AN160" s="1" t="s">
        <v>201</v>
      </c>
      <c r="AO160" s="1" t="s">
        <v>201</v>
      </c>
      <c r="AP160" s="17" t="s">
        <v>201</v>
      </c>
      <c r="AQ160" s="17" t="s">
        <v>233</v>
      </c>
      <c r="AR160" s="17">
        <v>2</v>
      </c>
      <c r="AS160" s="120">
        <v>1.31</v>
      </c>
      <c r="AT160" s="120">
        <v>0.32</v>
      </c>
      <c r="AU160" s="1" t="s">
        <v>235</v>
      </c>
      <c r="AV160" s="24" t="s">
        <v>297</v>
      </c>
      <c r="AW160" s="86">
        <v>1</v>
      </c>
      <c r="AY160" s="1"/>
    </row>
    <row r="161" spans="1:51">
      <c r="A161" s="1" t="s">
        <v>85</v>
      </c>
      <c r="B161" s="80">
        <v>40750</v>
      </c>
      <c r="C161" s="16" t="s">
        <v>220</v>
      </c>
      <c r="D161" s="106">
        <v>0.1</v>
      </c>
      <c r="E161" s="10">
        <v>0.03</v>
      </c>
      <c r="F161" s="1" t="s">
        <v>201</v>
      </c>
      <c r="G161" s="120">
        <v>100</v>
      </c>
      <c r="H161" s="106">
        <v>0.25</v>
      </c>
      <c r="I161" s="10">
        <v>0.05</v>
      </c>
      <c r="J161" s="1" t="s">
        <v>201</v>
      </c>
      <c r="K161" s="17">
        <v>100</v>
      </c>
      <c r="L161" s="106">
        <v>0.5</v>
      </c>
      <c r="M161" s="10">
        <v>0.04</v>
      </c>
      <c r="N161" s="1" t="s">
        <v>201</v>
      </c>
      <c r="O161" s="17">
        <v>100</v>
      </c>
      <c r="P161" s="42">
        <v>0.75</v>
      </c>
      <c r="Q161" s="7">
        <v>0.1</v>
      </c>
      <c r="R161" s="1" t="s">
        <v>201</v>
      </c>
      <c r="S161" s="15">
        <v>100</v>
      </c>
      <c r="T161" s="42">
        <v>0.9</v>
      </c>
      <c r="U161" s="7">
        <v>0.03</v>
      </c>
      <c r="V161" s="7" t="s">
        <v>201</v>
      </c>
      <c r="W161" s="126">
        <v>100</v>
      </c>
      <c r="X161" s="13">
        <v>0</v>
      </c>
      <c r="Y161" s="1">
        <v>0</v>
      </c>
      <c r="Z161" s="17">
        <v>3</v>
      </c>
      <c r="AA161" s="13">
        <v>22</v>
      </c>
      <c r="AB161" s="1">
        <v>96</v>
      </c>
      <c r="AC161" s="1">
        <v>0</v>
      </c>
      <c r="AD161" s="17">
        <v>78</v>
      </c>
      <c r="AE161" s="42">
        <v>18</v>
      </c>
      <c r="AF161" s="7">
        <v>0</v>
      </c>
      <c r="AG161" s="7">
        <v>0.97</v>
      </c>
      <c r="AH161" s="7">
        <v>0.09</v>
      </c>
      <c r="AI161" s="48">
        <v>0.04</v>
      </c>
      <c r="AJ161" s="13">
        <v>0.04</v>
      </c>
      <c r="AK161" s="120">
        <v>0.35</v>
      </c>
      <c r="AL161" s="13" t="s">
        <v>201</v>
      </c>
      <c r="AM161" s="1" t="s">
        <v>201</v>
      </c>
      <c r="AN161" s="1" t="s">
        <v>201</v>
      </c>
      <c r="AO161" s="1" t="s">
        <v>201</v>
      </c>
      <c r="AP161" s="17" t="s">
        <v>201</v>
      </c>
      <c r="AQ161" s="17" t="s">
        <v>233</v>
      </c>
      <c r="AR161" s="17">
        <v>22</v>
      </c>
      <c r="AS161" s="120">
        <v>1.33</v>
      </c>
      <c r="AT161" s="120">
        <v>0.36</v>
      </c>
      <c r="AY161" s="1"/>
    </row>
    <row r="162" spans="1:51">
      <c r="A162" s="1" t="s">
        <v>85</v>
      </c>
      <c r="B162" s="80">
        <v>40750</v>
      </c>
      <c r="C162" s="16" t="s">
        <v>217</v>
      </c>
      <c r="D162" s="106">
        <v>0.1</v>
      </c>
      <c r="E162" s="10">
        <v>0.14000000000000001</v>
      </c>
      <c r="F162" s="1" t="s">
        <v>201</v>
      </c>
      <c r="G162" s="120">
        <v>100</v>
      </c>
      <c r="H162" s="106">
        <v>0.2</v>
      </c>
      <c r="I162" s="10">
        <v>0.24</v>
      </c>
      <c r="J162" s="1" t="s">
        <v>201</v>
      </c>
      <c r="K162" s="17">
        <v>100</v>
      </c>
      <c r="L162" s="106">
        <v>0.3</v>
      </c>
      <c r="M162" s="10">
        <v>0.24</v>
      </c>
      <c r="N162" s="1" t="s">
        <v>201</v>
      </c>
      <c r="O162" s="17">
        <v>100</v>
      </c>
      <c r="P162" s="42">
        <v>0.4</v>
      </c>
      <c r="Q162" s="7">
        <v>0.24</v>
      </c>
      <c r="R162" s="1" t="s">
        <v>201</v>
      </c>
      <c r="S162" s="15">
        <v>100</v>
      </c>
      <c r="T162" s="42">
        <v>0.5</v>
      </c>
      <c r="U162" s="7">
        <v>0.13</v>
      </c>
      <c r="V162" s="7" t="s">
        <v>201</v>
      </c>
      <c r="W162" s="126">
        <v>100</v>
      </c>
      <c r="X162" s="13">
        <v>0</v>
      </c>
      <c r="Y162" s="1">
        <v>0</v>
      </c>
      <c r="Z162" s="17">
        <v>4</v>
      </c>
      <c r="AA162" s="13">
        <v>89</v>
      </c>
      <c r="AB162" s="1">
        <v>96</v>
      </c>
      <c r="AC162" s="1">
        <v>86</v>
      </c>
      <c r="AD162" s="17">
        <v>96</v>
      </c>
      <c r="AE162" s="42">
        <v>0.53</v>
      </c>
      <c r="AF162" s="7">
        <v>0</v>
      </c>
      <c r="AG162" s="7">
        <v>0.59</v>
      </c>
      <c r="AH162" s="7">
        <v>0.24</v>
      </c>
      <c r="AI162" s="48">
        <v>0.01</v>
      </c>
      <c r="AP162" s="17"/>
      <c r="AQ162" s="17"/>
      <c r="AR162" s="17"/>
      <c r="AS162" s="120"/>
      <c r="AT162" s="120"/>
      <c r="AY162" s="1" t="s">
        <v>298</v>
      </c>
    </row>
    <row r="163" spans="1:51">
      <c r="A163" s="1" t="s">
        <v>85</v>
      </c>
      <c r="B163" s="80">
        <v>40750</v>
      </c>
      <c r="C163" s="16" t="s">
        <v>208</v>
      </c>
      <c r="D163" s="106">
        <v>0.39</v>
      </c>
      <c r="E163" s="10">
        <v>0.3</v>
      </c>
      <c r="F163" s="1" t="s">
        <v>299</v>
      </c>
      <c r="G163" s="120">
        <v>100</v>
      </c>
      <c r="H163" s="106">
        <v>0.37</v>
      </c>
      <c r="I163" s="10">
        <v>0.3</v>
      </c>
      <c r="J163" s="1" t="s">
        <v>201</v>
      </c>
      <c r="K163" s="17">
        <v>100</v>
      </c>
      <c r="L163" s="106">
        <v>0.25</v>
      </c>
      <c r="M163" s="10">
        <v>0.18</v>
      </c>
      <c r="N163" s="1" t="s">
        <v>201</v>
      </c>
      <c r="O163" s="17">
        <v>100</v>
      </c>
      <c r="P163" s="42">
        <v>0.3</v>
      </c>
      <c r="Q163" s="7">
        <v>0.12</v>
      </c>
      <c r="R163" s="1" t="s">
        <v>201</v>
      </c>
      <c r="S163" s="15">
        <v>100</v>
      </c>
      <c r="T163" s="42">
        <v>0.1</v>
      </c>
      <c r="U163" s="7">
        <v>0.09</v>
      </c>
      <c r="V163" s="7" t="s">
        <v>201</v>
      </c>
      <c r="W163" s="126">
        <v>100</v>
      </c>
      <c r="X163" s="13">
        <v>0</v>
      </c>
      <c r="Y163" s="1">
        <v>0</v>
      </c>
      <c r="Z163" s="17">
        <v>3</v>
      </c>
      <c r="AA163" s="13">
        <v>33</v>
      </c>
      <c r="AB163" s="1">
        <v>96</v>
      </c>
      <c r="AC163" s="1">
        <v>56</v>
      </c>
      <c r="AD163" s="17">
        <v>40</v>
      </c>
      <c r="AE163" s="42">
        <v>0.05</v>
      </c>
      <c r="AF163" s="7" t="s">
        <v>300</v>
      </c>
      <c r="AG163" s="7">
        <v>1.04</v>
      </c>
      <c r="AH163" s="7">
        <v>0.19</v>
      </c>
      <c r="AI163" s="48">
        <v>0.01</v>
      </c>
      <c r="AJ163" s="13">
        <v>0.13</v>
      </c>
      <c r="AK163" s="120">
        <v>0.05</v>
      </c>
      <c r="AL163" s="13" t="s">
        <v>201</v>
      </c>
      <c r="AM163" s="1" t="s">
        <v>201</v>
      </c>
      <c r="AN163" s="1" t="s">
        <v>201</v>
      </c>
      <c r="AO163" s="1" t="s">
        <v>201</v>
      </c>
      <c r="AP163" s="17" t="s">
        <v>201</v>
      </c>
      <c r="AQ163" s="17"/>
      <c r="AR163" s="17"/>
      <c r="AS163" s="120"/>
      <c r="AT163" s="120"/>
      <c r="AY163" s="1"/>
    </row>
    <row r="164" spans="1:51">
      <c r="A164" s="1" t="s">
        <v>85</v>
      </c>
      <c r="B164" s="80">
        <v>40750</v>
      </c>
      <c r="C164" s="16" t="s">
        <v>203</v>
      </c>
      <c r="D164" s="106">
        <v>0</v>
      </c>
      <c r="E164" s="10">
        <v>0</v>
      </c>
      <c r="F164" s="1" t="s">
        <v>201</v>
      </c>
      <c r="G164" s="120">
        <v>100</v>
      </c>
      <c r="H164" s="106">
        <v>0.01</v>
      </c>
      <c r="I164" s="10">
        <v>0</v>
      </c>
      <c r="J164" s="1" t="s">
        <v>201</v>
      </c>
      <c r="K164" s="17">
        <v>100</v>
      </c>
      <c r="L164" s="106">
        <v>0.1</v>
      </c>
      <c r="M164" s="10">
        <v>1.0000000000000001E-5</v>
      </c>
      <c r="N164" s="1" t="s">
        <v>201</v>
      </c>
      <c r="O164" s="17">
        <v>100</v>
      </c>
      <c r="P164" s="42">
        <v>0.18</v>
      </c>
      <c r="Q164" s="7">
        <v>1E-4</v>
      </c>
      <c r="R164" s="1" t="s">
        <v>201</v>
      </c>
      <c r="S164" s="15">
        <v>100</v>
      </c>
      <c r="T164" s="42">
        <v>0.22</v>
      </c>
      <c r="U164" s="7">
        <v>9.9999999999999995E-8</v>
      </c>
      <c r="V164" s="7" t="s">
        <v>201</v>
      </c>
      <c r="W164" s="126">
        <v>100</v>
      </c>
      <c r="X164" s="13">
        <v>0</v>
      </c>
      <c r="Y164" s="1">
        <v>0</v>
      </c>
      <c r="Z164" s="17">
        <v>4</v>
      </c>
      <c r="AA164" s="13">
        <v>96</v>
      </c>
      <c r="AB164" s="1">
        <v>96</v>
      </c>
      <c r="AC164" s="1">
        <v>96</v>
      </c>
      <c r="AD164" s="17">
        <v>96</v>
      </c>
      <c r="AE164" s="42">
        <v>0</v>
      </c>
      <c r="AF164" s="7">
        <v>0.23</v>
      </c>
      <c r="AG164" s="7">
        <v>0.23</v>
      </c>
      <c r="AH164" s="7">
        <v>1E-4</v>
      </c>
      <c r="AJ164" s="13">
        <v>0.22</v>
      </c>
      <c r="AK164" s="120">
        <v>1.1399999999999999</v>
      </c>
      <c r="AL164" s="13" t="s">
        <v>201</v>
      </c>
      <c r="AM164" s="1" t="s">
        <v>201</v>
      </c>
      <c r="AN164" s="1" t="s">
        <v>201</v>
      </c>
      <c r="AO164" s="1" t="s">
        <v>201</v>
      </c>
      <c r="AP164" s="17" t="s">
        <v>201</v>
      </c>
      <c r="AQ164" s="17"/>
      <c r="AR164" s="17"/>
      <c r="AS164" s="120"/>
      <c r="AT164" s="120"/>
      <c r="AY164" s="1" t="s">
        <v>301</v>
      </c>
    </row>
    <row r="165" spans="1:51">
      <c r="A165" s="1" t="s">
        <v>85</v>
      </c>
      <c r="B165" s="80">
        <v>40750</v>
      </c>
      <c r="C165" s="16" t="s">
        <v>200</v>
      </c>
      <c r="D165" s="106">
        <v>0.9</v>
      </c>
      <c r="E165" s="10">
        <v>0.06</v>
      </c>
      <c r="F165" s="1" t="s">
        <v>201</v>
      </c>
      <c r="G165" s="120">
        <v>100</v>
      </c>
      <c r="H165" s="106">
        <v>0.7</v>
      </c>
      <c r="I165" s="10">
        <v>0.05</v>
      </c>
      <c r="J165" s="1" t="s">
        <v>201</v>
      </c>
      <c r="K165" s="17">
        <v>100</v>
      </c>
      <c r="L165" s="106">
        <v>0.5</v>
      </c>
      <c r="M165" s="10">
        <v>0.09</v>
      </c>
      <c r="N165" s="1" t="s">
        <v>201</v>
      </c>
      <c r="O165" s="17">
        <v>100</v>
      </c>
      <c r="P165" s="42">
        <v>0.3</v>
      </c>
      <c r="Q165" s="7">
        <v>7.0000000000000007E-2</v>
      </c>
      <c r="R165" s="1" t="s">
        <v>201</v>
      </c>
      <c r="S165" s="15">
        <v>100</v>
      </c>
      <c r="T165" s="42">
        <v>0.1</v>
      </c>
      <c r="U165" s="7">
        <v>0.08</v>
      </c>
      <c r="V165" s="7" t="s">
        <v>201</v>
      </c>
      <c r="W165" s="126">
        <v>100</v>
      </c>
      <c r="X165" s="13">
        <v>0</v>
      </c>
      <c r="Y165" s="1">
        <v>0</v>
      </c>
      <c r="Z165" s="17">
        <v>3</v>
      </c>
      <c r="AA165" s="13">
        <v>12</v>
      </c>
      <c r="AB165" s="1">
        <v>60</v>
      </c>
      <c r="AC165" s="1">
        <v>96</v>
      </c>
      <c r="AD165" s="17">
        <v>16</v>
      </c>
      <c r="AE165" s="42">
        <v>0</v>
      </c>
      <c r="AF165" s="7">
        <v>0</v>
      </c>
      <c r="AG165" s="7">
        <v>0.01</v>
      </c>
      <c r="AH165" s="7">
        <v>0.09</v>
      </c>
      <c r="AI165" s="48">
        <v>0.02</v>
      </c>
      <c r="AJ165" s="13">
        <v>0.52</v>
      </c>
      <c r="AK165" s="120">
        <v>0.86</v>
      </c>
      <c r="AL165" s="13" t="s">
        <v>201</v>
      </c>
      <c r="AM165" s="1" t="s">
        <v>201</v>
      </c>
      <c r="AN165" s="1" t="s">
        <v>201</v>
      </c>
      <c r="AO165" s="1" t="s">
        <v>201</v>
      </c>
      <c r="AP165" s="17" t="s">
        <v>201</v>
      </c>
      <c r="AQ165" s="17"/>
      <c r="AR165" s="17"/>
      <c r="AS165" s="120"/>
      <c r="AT165" s="120"/>
      <c r="AY165" s="1"/>
    </row>
    <row r="166" spans="1:51">
      <c r="A166" s="1" t="s">
        <v>83</v>
      </c>
      <c r="B166" s="80">
        <v>40745</v>
      </c>
      <c r="C166" s="16" t="s">
        <v>220</v>
      </c>
      <c r="D166" s="106">
        <v>0.3</v>
      </c>
      <c r="E166" s="10">
        <v>0.13</v>
      </c>
      <c r="F166" s="1" t="s">
        <v>225</v>
      </c>
      <c r="G166" s="120">
        <v>40</v>
      </c>
      <c r="H166" s="106">
        <v>0.5</v>
      </c>
      <c r="I166" s="10">
        <v>0.21</v>
      </c>
      <c r="J166" s="1" t="s">
        <v>199</v>
      </c>
      <c r="K166" s="17">
        <v>100</v>
      </c>
      <c r="L166" s="106">
        <v>0.75</v>
      </c>
      <c r="M166" s="10">
        <v>0.2</v>
      </c>
      <c r="N166" s="1" t="s">
        <v>207</v>
      </c>
      <c r="O166" s="17">
        <v>60</v>
      </c>
      <c r="P166" s="42">
        <v>0.8</v>
      </c>
      <c r="Q166" s="7">
        <v>0.2</v>
      </c>
      <c r="R166" s="1" t="s">
        <v>207</v>
      </c>
      <c r="S166" s="15">
        <v>40</v>
      </c>
      <c r="T166" s="42">
        <v>1.2</v>
      </c>
      <c r="U166" s="7">
        <v>0.19</v>
      </c>
      <c r="V166" s="7" t="s">
        <v>199</v>
      </c>
      <c r="W166" s="126">
        <v>100</v>
      </c>
      <c r="X166" s="13">
        <v>0</v>
      </c>
      <c r="Y166" s="1">
        <v>2</v>
      </c>
      <c r="Z166" s="17">
        <v>2</v>
      </c>
      <c r="AA166" s="13">
        <v>8</v>
      </c>
      <c r="AB166" s="1">
        <v>0</v>
      </c>
      <c r="AC166" s="1">
        <v>0</v>
      </c>
      <c r="AD166" s="17">
        <v>4</v>
      </c>
      <c r="AE166" s="42">
        <v>0</v>
      </c>
      <c r="AF166" s="7">
        <v>0</v>
      </c>
      <c r="AG166" s="7">
        <v>1.46</v>
      </c>
      <c r="AH166" s="7">
        <v>0.23</v>
      </c>
      <c r="AI166" s="48">
        <v>0.11</v>
      </c>
      <c r="AJ166" s="13">
        <v>0.12</v>
      </c>
      <c r="AL166" s="13" t="s">
        <v>199</v>
      </c>
      <c r="AM166" s="1" t="s">
        <v>199</v>
      </c>
      <c r="AN166" s="1" t="s">
        <v>207</v>
      </c>
      <c r="AO166" s="1" t="s">
        <v>207</v>
      </c>
      <c r="AP166" s="17" t="s">
        <v>225</v>
      </c>
      <c r="AQ166" s="17" t="s">
        <v>233</v>
      </c>
      <c r="AR166" s="17">
        <v>2.68</v>
      </c>
      <c r="AS166" s="120">
        <v>1.49</v>
      </c>
      <c r="AT166" s="120">
        <v>0.33</v>
      </c>
      <c r="AY166" s="1"/>
    </row>
    <row r="167" spans="1:51">
      <c r="A167" s="1" t="s">
        <v>83</v>
      </c>
      <c r="B167" s="80">
        <v>40745</v>
      </c>
      <c r="C167" s="16" t="s">
        <v>219</v>
      </c>
      <c r="D167" s="106" t="s">
        <v>204</v>
      </c>
      <c r="H167" s="106">
        <v>0.5</v>
      </c>
      <c r="I167" s="10">
        <v>0.09</v>
      </c>
      <c r="J167" s="1" t="s">
        <v>199</v>
      </c>
      <c r="K167" s="17">
        <v>100</v>
      </c>
      <c r="L167" s="106">
        <v>0.9</v>
      </c>
      <c r="M167" s="10">
        <v>0.1</v>
      </c>
      <c r="N167" s="1" t="s">
        <v>210</v>
      </c>
      <c r="O167" s="17">
        <v>60</v>
      </c>
      <c r="P167" s="42">
        <v>1.3</v>
      </c>
      <c r="Q167" s="7">
        <v>0.13</v>
      </c>
      <c r="R167" s="1" t="s">
        <v>210</v>
      </c>
      <c r="S167" s="15">
        <v>60</v>
      </c>
      <c r="T167" s="42">
        <v>1.6</v>
      </c>
      <c r="U167" s="7">
        <v>7.0000000000000007E-2</v>
      </c>
      <c r="V167" s="7" t="s">
        <v>199</v>
      </c>
      <c r="W167" s="126">
        <v>100</v>
      </c>
      <c r="X167" s="13">
        <v>0</v>
      </c>
      <c r="Y167" s="1">
        <v>2</v>
      </c>
      <c r="Z167" s="17">
        <v>3</v>
      </c>
      <c r="AA167" s="13">
        <v>64</v>
      </c>
      <c r="AB167" s="1">
        <v>96</v>
      </c>
      <c r="AC167" s="1">
        <v>96</v>
      </c>
      <c r="AD167" s="17">
        <v>96</v>
      </c>
      <c r="AE167" s="42">
        <v>0.33</v>
      </c>
      <c r="AF167" s="7">
        <v>0.1</v>
      </c>
      <c r="AG167" s="7">
        <v>1.77</v>
      </c>
      <c r="AH167" s="7">
        <v>0.12</v>
      </c>
      <c r="AI167" s="48">
        <v>0.32</v>
      </c>
      <c r="AJ167" s="13">
        <v>0.12</v>
      </c>
      <c r="AK167" s="120">
        <v>1.08</v>
      </c>
      <c r="AL167" s="13" t="s">
        <v>199</v>
      </c>
      <c r="AM167" s="1" t="s">
        <v>207</v>
      </c>
      <c r="AN167" s="1" t="s">
        <v>207</v>
      </c>
      <c r="AO167" s="1" t="s">
        <v>210</v>
      </c>
      <c r="AP167" s="17" t="s">
        <v>199</v>
      </c>
      <c r="AQ167" s="17"/>
      <c r="AR167" s="17"/>
      <c r="AS167" s="120"/>
      <c r="AT167" s="120"/>
      <c r="AY167" s="1"/>
    </row>
    <row r="168" spans="1:51">
      <c r="A168" s="1" t="s">
        <v>83</v>
      </c>
      <c r="B168" s="80">
        <v>40745</v>
      </c>
      <c r="C168" s="16" t="s">
        <v>208</v>
      </c>
      <c r="D168" s="106">
        <v>0.1</v>
      </c>
      <c r="E168" s="10">
        <v>0.04</v>
      </c>
      <c r="F168" s="1" t="s">
        <v>207</v>
      </c>
      <c r="G168" s="120">
        <v>10</v>
      </c>
      <c r="H168" s="106">
        <v>0.4</v>
      </c>
      <c r="I168" s="10">
        <v>0.04</v>
      </c>
      <c r="J168" s="1" t="s">
        <v>207</v>
      </c>
      <c r="K168" s="17">
        <v>10</v>
      </c>
      <c r="L168" s="106">
        <v>0.7</v>
      </c>
      <c r="M168" s="10">
        <v>0.08</v>
      </c>
      <c r="N168" s="1" t="s">
        <v>207</v>
      </c>
      <c r="O168" s="17">
        <v>10</v>
      </c>
      <c r="P168" s="42">
        <v>1</v>
      </c>
      <c r="Q168" s="7">
        <v>0.08</v>
      </c>
      <c r="R168" s="1" t="s">
        <v>207</v>
      </c>
      <c r="S168" s="15">
        <v>10</v>
      </c>
      <c r="T168" s="42">
        <v>1.3</v>
      </c>
      <c r="U168" s="7">
        <v>7.0000000000000007E-2</v>
      </c>
      <c r="V168" s="7" t="s">
        <v>207</v>
      </c>
      <c r="W168" s="126">
        <v>10</v>
      </c>
      <c r="X168" s="13">
        <v>0</v>
      </c>
      <c r="Y168" s="1">
        <v>2</v>
      </c>
      <c r="Z168" s="17">
        <v>3</v>
      </c>
      <c r="AA168" s="13">
        <v>36</v>
      </c>
      <c r="AB168" s="1">
        <v>43</v>
      </c>
      <c r="AC168" s="1">
        <v>64</v>
      </c>
      <c r="AD168" s="17">
        <v>44</v>
      </c>
      <c r="AE168" s="42">
        <v>0</v>
      </c>
      <c r="AF168" s="7">
        <v>0.1</v>
      </c>
      <c r="AG168" s="7">
        <v>1.48</v>
      </c>
      <c r="AH168" s="7">
        <v>0.08</v>
      </c>
      <c r="AI168" s="48">
        <v>0.33</v>
      </c>
      <c r="AJ168" s="13">
        <v>0.1</v>
      </c>
      <c r="AK168" s="120">
        <v>1.53</v>
      </c>
      <c r="AL168" s="13" t="s">
        <v>199</v>
      </c>
      <c r="AM168" s="1" t="s">
        <v>207</v>
      </c>
      <c r="AN168" s="1" t="s">
        <v>207</v>
      </c>
      <c r="AO168" s="1" t="s">
        <v>207</v>
      </c>
      <c r="AP168" s="17" t="s">
        <v>225</v>
      </c>
      <c r="AQ168" s="17"/>
      <c r="AR168" s="17"/>
      <c r="AS168" s="120"/>
      <c r="AT168" s="120"/>
      <c r="AY168" s="1"/>
    </row>
    <row r="169" spans="1:51">
      <c r="A169" s="1" t="s">
        <v>83</v>
      </c>
      <c r="B169" s="80">
        <v>40745</v>
      </c>
      <c r="C169" s="16" t="s">
        <v>217</v>
      </c>
      <c r="D169" s="106">
        <v>0.1</v>
      </c>
      <c r="E169" s="10">
        <v>0.02</v>
      </c>
      <c r="F169" s="1" t="s">
        <v>225</v>
      </c>
      <c r="H169" s="106">
        <v>0.3</v>
      </c>
      <c r="I169" s="10">
        <v>0.02</v>
      </c>
      <c r="J169" s="1" t="s">
        <v>225</v>
      </c>
      <c r="L169" s="106">
        <v>0.5</v>
      </c>
      <c r="M169" s="10">
        <v>0.08</v>
      </c>
      <c r="N169" s="1" t="s">
        <v>210</v>
      </c>
      <c r="P169" s="42">
        <v>0.7</v>
      </c>
      <c r="Q169" s="7">
        <v>0.08</v>
      </c>
      <c r="R169" s="1" t="s">
        <v>210</v>
      </c>
      <c r="T169" s="42">
        <v>0.9</v>
      </c>
      <c r="U169" s="7">
        <v>0.02</v>
      </c>
      <c r="V169" s="7" t="s">
        <v>225</v>
      </c>
      <c r="X169" s="13">
        <v>0</v>
      </c>
      <c r="Y169" s="1">
        <v>2</v>
      </c>
      <c r="Z169" s="17">
        <v>3</v>
      </c>
      <c r="AA169" s="13">
        <v>6</v>
      </c>
      <c r="AB169" s="1">
        <v>30</v>
      </c>
      <c r="AC169" s="1">
        <v>72</v>
      </c>
      <c r="AD169" s="17">
        <v>0</v>
      </c>
      <c r="AE169" s="42">
        <v>0</v>
      </c>
      <c r="AF169" s="7">
        <v>0</v>
      </c>
      <c r="AG169" s="7">
        <v>1.05</v>
      </c>
      <c r="AH169" s="7">
        <v>0.08</v>
      </c>
      <c r="AI169" s="48">
        <v>0.37</v>
      </c>
      <c r="AJ169" s="13">
        <v>0.04</v>
      </c>
      <c r="AK169" s="120">
        <v>1.28</v>
      </c>
      <c r="AL169" s="13" t="s">
        <v>225</v>
      </c>
      <c r="AM169" s="1" t="s">
        <v>210</v>
      </c>
      <c r="AN169" s="1" t="s">
        <v>210</v>
      </c>
      <c r="AO169" s="1" t="s">
        <v>207</v>
      </c>
      <c r="AP169" s="17" t="s">
        <v>199</v>
      </c>
      <c r="AQ169" s="17"/>
      <c r="AR169" s="17"/>
      <c r="AS169" s="120"/>
      <c r="AT169" s="120"/>
      <c r="AY169" s="1" t="s">
        <v>303</v>
      </c>
    </row>
    <row r="170" spans="1:51">
      <c r="A170" s="1" t="s">
        <v>83</v>
      </c>
      <c r="B170" s="80">
        <v>40745</v>
      </c>
      <c r="C170" s="16" t="s">
        <v>200</v>
      </c>
      <c r="D170" s="106">
        <v>0.1</v>
      </c>
      <c r="E170" s="10">
        <v>0.06</v>
      </c>
      <c r="F170" s="1" t="s">
        <v>207</v>
      </c>
      <c r="G170" s="120">
        <v>30</v>
      </c>
      <c r="H170" s="106">
        <v>0.4</v>
      </c>
      <c r="I170" s="10">
        <v>0.02</v>
      </c>
      <c r="J170" s="1" t="s">
        <v>207</v>
      </c>
      <c r="K170" s="17">
        <v>30</v>
      </c>
      <c r="L170" s="106">
        <v>0.8</v>
      </c>
      <c r="M170" s="10">
        <v>0.16</v>
      </c>
      <c r="N170" s="1" t="s">
        <v>210</v>
      </c>
      <c r="O170" s="17">
        <v>10</v>
      </c>
      <c r="P170" s="42">
        <v>1.2</v>
      </c>
      <c r="Q170" s="7">
        <v>0.16</v>
      </c>
      <c r="R170" s="1" t="s">
        <v>199</v>
      </c>
      <c r="S170" s="15">
        <v>100</v>
      </c>
      <c r="T170" s="42">
        <v>1.3</v>
      </c>
      <c r="U170" s="7">
        <v>0.06</v>
      </c>
      <c r="V170" s="7" t="s">
        <v>199</v>
      </c>
      <c r="W170" s="126">
        <v>100</v>
      </c>
      <c r="X170" s="13">
        <v>0</v>
      </c>
      <c r="Y170" s="1">
        <v>2</v>
      </c>
      <c r="Z170" s="17">
        <v>4</v>
      </c>
      <c r="AA170" s="13">
        <v>96</v>
      </c>
      <c r="AB170" s="1">
        <v>96</v>
      </c>
      <c r="AC170" s="1">
        <v>96</v>
      </c>
      <c r="AD170" s="17">
        <v>96</v>
      </c>
      <c r="AE170" s="42">
        <v>0</v>
      </c>
      <c r="AF170" s="7" t="s">
        <v>204</v>
      </c>
      <c r="AG170" s="7" t="s">
        <v>204</v>
      </c>
      <c r="AH170" s="7">
        <v>0.18</v>
      </c>
      <c r="AI170" s="48">
        <v>0.35</v>
      </c>
      <c r="AJ170" s="13">
        <v>0.09</v>
      </c>
      <c r="AK170" s="120">
        <v>0.8</v>
      </c>
      <c r="AL170" s="13" t="s">
        <v>210</v>
      </c>
      <c r="AM170" s="1" t="s">
        <v>210</v>
      </c>
      <c r="AN170" s="1" t="s">
        <v>210</v>
      </c>
      <c r="AO170" s="1" t="s">
        <v>210</v>
      </c>
      <c r="AP170" s="17" t="s">
        <v>210</v>
      </c>
      <c r="AQ170" s="17"/>
      <c r="AR170" s="17"/>
      <c r="AS170" s="120"/>
      <c r="AT170" s="120"/>
      <c r="AY170" s="1"/>
    </row>
    <row r="171" spans="1:51">
      <c r="A171" s="1" t="s">
        <v>83</v>
      </c>
      <c r="B171" s="80">
        <v>40745</v>
      </c>
      <c r="C171" s="16" t="s">
        <v>203</v>
      </c>
      <c r="D171" s="106">
        <v>0.2</v>
      </c>
      <c r="E171" s="10">
        <v>0.04</v>
      </c>
      <c r="F171" s="1" t="s">
        <v>207</v>
      </c>
      <c r="G171" s="120">
        <v>10</v>
      </c>
      <c r="H171" s="106">
        <v>0.5</v>
      </c>
      <c r="I171" s="10">
        <v>7.0000000000000007E-2</v>
      </c>
      <c r="J171" s="1" t="s">
        <v>207</v>
      </c>
      <c r="K171" s="17">
        <v>30</v>
      </c>
      <c r="L171" s="106">
        <v>0.8</v>
      </c>
      <c r="M171" s="10">
        <v>0.1</v>
      </c>
      <c r="N171" s="1" t="s">
        <v>207</v>
      </c>
      <c r="O171" s="17">
        <v>30</v>
      </c>
      <c r="P171" s="42">
        <v>1.1000000000000001</v>
      </c>
      <c r="Q171" s="7">
        <v>0.12</v>
      </c>
      <c r="R171" s="1" t="s">
        <v>207</v>
      </c>
      <c r="S171" s="15">
        <v>50</v>
      </c>
      <c r="T171" s="42">
        <v>1.4</v>
      </c>
      <c r="U171" s="7">
        <v>7.0000000000000007E-2</v>
      </c>
      <c r="V171" s="7" t="s">
        <v>207</v>
      </c>
      <c r="W171" s="126">
        <v>30</v>
      </c>
      <c r="X171" s="13">
        <v>0</v>
      </c>
      <c r="Y171" s="1">
        <v>2</v>
      </c>
      <c r="Z171" s="17">
        <v>2</v>
      </c>
      <c r="AA171" s="13">
        <v>60</v>
      </c>
      <c r="AB171" s="1">
        <v>32</v>
      </c>
      <c r="AC171" s="1">
        <v>2</v>
      </c>
      <c r="AD171" s="17">
        <v>84</v>
      </c>
      <c r="AE171" s="42">
        <v>0.24</v>
      </c>
      <c r="AF171" s="7">
        <v>0.18</v>
      </c>
      <c r="AG171" s="7">
        <v>1.62</v>
      </c>
      <c r="AH171" s="7">
        <v>0.1</v>
      </c>
      <c r="AI171" s="48">
        <v>0.31</v>
      </c>
      <c r="AJ171" s="13">
        <v>0.08</v>
      </c>
      <c r="AK171" s="120">
        <v>1.78</v>
      </c>
      <c r="AL171" s="13" t="s">
        <v>225</v>
      </c>
      <c r="AM171" s="1" t="s">
        <v>225</v>
      </c>
      <c r="AN171" s="1" t="s">
        <v>207</v>
      </c>
      <c r="AO171" s="1" t="s">
        <v>210</v>
      </c>
      <c r="AP171" s="17" t="s">
        <v>199</v>
      </c>
      <c r="AQ171" s="17"/>
      <c r="AR171" s="17"/>
      <c r="AS171" s="120"/>
      <c r="AT171" s="120"/>
      <c r="AY171" s="1"/>
    </row>
    <row r="172" spans="1:51">
      <c r="A172" s="1" t="s">
        <v>83</v>
      </c>
      <c r="B172" s="80">
        <v>40745</v>
      </c>
      <c r="C172" s="16" t="s">
        <v>198</v>
      </c>
      <c r="D172" s="106">
        <v>0.1</v>
      </c>
      <c r="E172" s="10">
        <v>0.08</v>
      </c>
      <c r="F172" s="1" t="s">
        <v>210</v>
      </c>
      <c r="G172" s="120">
        <v>30</v>
      </c>
      <c r="H172" s="106">
        <v>0.3</v>
      </c>
      <c r="I172" s="10">
        <v>0.12</v>
      </c>
      <c r="J172" s="1" t="s">
        <v>207</v>
      </c>
      <c r="K172" s="17">
        <v>10</v>
      </c>
      <c r="L172" s="106">
        <v>0.5</v>
      </c>
      <c r="M172" s="10">
        <v>0.14000000000000001</v>
      </c>
      <c r="N172" s="1" t="s">
        <v>210</v>
      </c>
      <c r="O172" s="17">
        <v>10</v>
      </c>
      <c r="P172" s="42">
        <v>0.7</v>
      </c>
      <c r="Q172" s="7">
        <v>0.15</v>
      </c>
      <c r="R172" s="1" t="s">
        <v>210</v>
      </c>
      <c r="S172" s="15">
        <v>10</v>
      </c>
      <c r="T172" s="42">
        <v>0.8</v>
      </c>
      <c r="U172" s="7">
        <v>0.12</v>
      </c>
      <c r="V172" s="7" t="s">
        <v>207</v>
      </c>
      <c r="W172" s="126">
        <v>10</v>
      </c>
      <c r="X172" s="13">
        <v>0</v>
      </c>
      <c r="Y172" s="1">
        <v>2</v>
      </c>
      <c r="Z172" s="17">
        <v>2</v>
      </c>
      <c r="AA172" s="13">
        <v>32</v>
      </c>
      <c r="AB172" s="1">
        <v>19</v>
      </c>
      <c r="AC172" s="1">
        <v>0</v>
      </c>
      <c r="AD172" s="17">
        <v>27</v>
      </c>
      <c r="AE172" s="42">
        <v>0</v>
      </c>
      <c r="AF172" s="7">
        <v>0</v>
      </c>
      <c r="AG172" s="7">
        <v>0.88</v>
      </c>
      <c r="AH172" s="7">
        <v>0.12</v>
      </c>
      <c r="AI172" s="48">
        <v>0.26</v>
      </c>
      <c r="AP172" s="17"/>
      <c r="AQ172" s="17"/>
      <c r="AR172" s="17"/>
      <c r="AS172" s="120"/>
      <c r="AT172" s="120"/>
      <c r="AY172" s="1"/>
    </row>
    <row r="173" spans="1:51">
      <c r="A173" s="1" t="s">
        <v>86</v>
      </c>
      <c r="B173" s="80">
        <v>40746</v>
      </c>
      <c r="C173" s="16" t="s">
        <v>198</v>
      </c>
      <c r="D173" s="106">
        <v>0.1</v>
      </c>
      <c r="E173" s="10">
        <v>0.15</v>
      </c>
      <c r="F173" s="1" t="s">
        <v>199</v>
      </c>
      <c r="G173" s="120">
        <v>0</v>
      </c>
      <c r="H173" s="106">
        <v>0.4</v>
      </c>
      <c r="I173" s="10">
        <v>0.13</v>
      </c>
      <c r="J173" s="1" t="s">
        <v>202</v>
      </c>
      <c r="K173" s="17">
        <v>0</v>
      </c>
      <c r="L173" s="106">
        <v>0.8</v>
      </c>
      <c r="M173" s="10">
        <v>0.16</v>
      </c>
      <c r="N173" s="1" t="s">
        <v>202</v>
      </c>
      <c r="O173" s="17">
        <v>0</v>
      </c>
      <c r="P173" s="42">
        <v>1.2</v>
      </c>
      <c r="Q173" s="7">
        <v>0.3</v>
      </c>
      <c r="R173" s="1" t="s">
        <v>199</v>
      </c>
      <c r="S173" s="15">
        <v>100</v>
      </c>
      <c r="T173" s="42">
        <v>1.6</v>
      </c>
      <c r="U173" s="7">
        <v>0.2</v>
      </c>
      <c r="V173" s="7" t="s">
        <v>199</v>
      </c>
      <c r="W173" s="126">
        <v>100</v>
      </c>
      <c r="X173" s="13">
        <v>0</v>
      </c>
      <c r="Y173" s="1">
        <v>2</v>
      </c>
      <c r="Z173" s="17">
        <v>2</v>
      </c>
      <c r="AA173" s="13">
        <v>20</v>
      </c>
      <c r="AB173" s="1">
        <v>20</v>
      </c>
      <c r="AC173" s="1">
        <v>0</v>
      </c>
      <c r="AD173" s="17">
        <v>36</v>
      </c>
      <c r="AE173" s="42">
        <v>0</v>
      </c>
      <c r="AF173" s="7">
        <v>0.39</v>
      </c>
      <c r="AG173" s="7">
        <v>1.73</v>
      </c>
      <c r="AH173" s="7">
        <v>0.3</v>
      </c>
      <c r="AI173" s="48">
        <v>0.1</v>
      </c>
      <c r="AP173" s="17"/>
      <c r="AQ173" s="17"/>
      <c r="AR173" s="17"/>
      <c r="AS173" s="120"/>
      <c r="AT173" s="120"/>
      <c r="AY173" s="1"/>
    </row>
    <row r="174" spans="1:51">
      <c r="A174" s="1" t="s">
        <v>86</v>
      </c>
      <c r="B174" s="80">
        <v>40746</v>
      </c>
      <c r="C174" s="16" t="s">
        <v>220</v>
      </c>
      <c r="D174" s="106">
        <v>0.1</v>
      </c>
      <c r="E174" s="10">
        <v>0.03</v>
      </c>
      <c r="F174" s="1" t="s">
        <v>225</v>
      </c>
      <c r="G174" s="120">
        <v>40</v>
      </c>
      <c r="H174" s="106">
        <v>0.3</v>
      </c>
      <c r="I174" s="10">
        <v>0.08</v>
      </c>
      <c r="J174" s="1" t="s">
        <v>210</v>
      </c>
      <c r="K174" s="17">
        <v>30</v>
      </c>
      <c r="L174" s="106">
        <v>0.5</v>
      </c>
      <c r="M174" s="10">
        <v>0.1</v>
      </c>
      <c r="N174" s="1" t="s">
        <v>210</v>
      </c>
      <c r="O174" s="17">
        <v>30</v>
      </c>
      <c r="P174" s="42">
        <v>0.7</v>
      </c>
      <c r="Q174" s="7">
        <v>0.04</v>
      </c>
      <c r="R174" s="1" t="s">
        <v>225</v>
      </c>
      <c r="S174" s="15">
        <v>40</v>
      </c>
      <c r="T174" s="42">
        <v>0.9</v>
      </c>
      <c r="U174" s="7">
        <v>0.03</v>
      </c>
      <c r="V174" s="7" t="s">
        <v>225</v>
      </c>
      <c r="W174" s="126">
        <v>40</v>
      </c>
      <c r="X174" s="13">
        <v>0</v>
      </c>
      <c r="Y174" s="1">
        <v>2</v>
      </c>
      <c r="Z174" s="17">
        <v>3</v>
      </c>
      <c r="AA174" s="13">
        <v>0</v>
      </c>
      <c r="AB174" s="1">
        <v>12</v>
      </c>
      <c r="AC174" s="1">
        <v>48</v>
      </c>
      <c r="AD174" s="17">
        <v>4</v>
      </c>
      <c r="AE174" s="42">
        <v>0</v>
      </c>
      <c r="AF174" s="7">
        <v>0</v>
      </c>
      <c r="AG174" s="7">
        <v>1.06</v>
      </c>
      <c r="AH174" s="7">
        <v>0.08</v>
      </c>
      <c r="AI174" s="48">
        <v>0.36</v>
      </c>
      <c r="AJ174" s="13">
        <v>0.1</v>
      </c>
      <c r="AK174" s="120">
        <v>0.85</v>
      </c>
      <c r="AL174" s="13" t="s">
        <v>199</v>
      </c>
      <c r="AM174" s="1" t="s">
        <v>225</v>
      </c>
      <c r="AN174" s="1" t="s">
        <v>210</v>
      </c>
      <c r="AO174" s="1" t="s">
        <v>210</v>
      </c>
      <c r="AP174" s="17" t="s">
        <v>210</v>
      </c>
      <c r="AQ174" s="17"/>
      <c r="AR174" s="17"/>
      <c r="AS174" s="120"/>
      <c r="AT174" s="120"/>
      <c r="AY174" s="1"/>
    </row>
    <row r="175" spans="1:51">
      <c r="A175" s="1" t="s">
        <v>86</v>
      </c>
      <c r="B175" s="80">
        <v>40746</v>
      </c>
      <c r="C175" s="16" t="s">
        <v>219</v>
      </c>
      <c r="D175" s="106">
        <v>0.2</v>
      </c>
      <c r="E175" s="10">
        <v>0.06</v>
      </c>
      <c r="F175" s="1" t="s">
        <v>210</v>
      </c>
      <c r="G175" s="120">
        <v>20</v>
      </c>
      <c r="H175" s="106">
        <v>0.4</v>
      </c>
      <c r="I175" s="10">
        <v>0.11</v>
      </c>
      <c r="J175" s="1" t="s">
        <v>199</v>
      </c>
      <c r="K175" s="17">
        <v>100</v>
      </c>
      <c r="L175" s="106">
        <v>0.6</v>
      </c>
      <c r="M175" s="10">
        <v>0.08</v>
      </c>
      <c r="N175" s="1" t="s">
        <v>210</v>
      </c>
      <c r="O175" s="17">
        <v>30</v>
      </c>
      <c r="P175" s="42">
        <v>0.8</v>
      </c>
      <c r="Q175" s="7">
        <v>0.1</v>
      </c>
      <c r="R175" s="1" t="s">
        <v>210</v>
      </c>
      <c r="S175" s="15">
        <v>20</v>
      </c>
      <c r="T175" s="42">
        <v>1</v>
      </c>
      <c r="U175" s="7">
        <v>0.1</v>
      </c>
      <c r="V175" s="7" t="s">
        <v>210</v>
      </c>
      <c r="W175" s="126">
        <v>30</v>
      </c>
      <c r="X175" s="13">
        <v>0</v>
      </c>
      <c r="Y175" s="1">
        <v>2</v>
      </c>
      <c r="Z175" s="17">
        <v>3</v>
      </c>
      <c r="AA175" s="13">
        <v>32</v>
      </c>
      <c r="AB175" s="1">
        <v>96</v>
      </c>
      <c r="AC175" s="1">
        <v>28</v>
      </c>
      <c r="AD175" s="17">
        <v>46</v>
      </c>
      <c r="AE175" s="42">
        <v>0.23</v>
      </c>
      <c r="AF175" s="7">
        <v>0.12</v>
      </c>
      <c r="AG175" s="7">
        <v>1.1200000000000001</v>
      </c>
      <c r="AH175" s="7">
        <v>0.06</v>
      </c>
      <c r="AI175" s="48">
        <v>0.71</v>
      </c>
      <c r="AJ175" s="13">
        <v>0.12</v>
      </c>
      <c r="AK175" s="120">
        <v>1.2</v>
      </c>
      <c r="AL175" s="13" t="s">
        <v>199</v>
      </c>
      <c r="AM175" s="1" t="s">
        <v>210</v>
      </c>
      <c r="AN175" s="1" t="s">
        <v>210</v>
      </c>
      <c r="AO175" s="1" t="s">
        <v>210</v>
      </c>
      <c r="AP175" s="17" t="s">
        <v>210</v>
      </c>
      <c r="AQ175" s="17"/>
      <c r="AR175" s="17"/>
      <c r="AS175" s="120"/>
      <c r="AT175" s="120"/>
      <c r="AY175" s="1"/>
    </row>
    <row r="176" spans="1:51">
      <c r="A176" s="1" t="s">
        <v>86</v>
      </c>
      <c r="B176" s="80">
        <v>40746</v>
      </c>
      <c r="C176" s="16" t="s">
        <v>208</v>
      </c>
      <c r="D176" s="106">
        <v>0.2</v>
      </c>
      <c r="E176" s="10">
        <v>0.14000000000000001</v>
      </c>
      <c r="F176" s="1" t="s">
        <v>210</v>
      </c>
      <c r="G176" s="120">
        <v>20</v>
      </c>
      <c r="H176" s="106">
        <v>0.4</v>
      </c>
      <c r="I176" s="10">
        <v>0.16</v>
      </c>
      <c r="J176" s="1" t="s">
        <v>210</v>
      </c>
      <c r="K176" s="17">
        <v>20</v>
      </c>
      <c r="L176" s="106">
        <v>0.6</v>
      </c>
      <c r="M176" s="10">
        <v>0.16</v>
      </c>
      <c r="N176" s="1" t="s">
        <v>210</v>
      </c>
      <c r="O176" s="17">
        <v>20</v>
      </c>
      <c r="P176" s="42">
        <v>0.8</v>
      </c>
      <c r="Q176" s="7">
        <v>0.09</v>
      </c>
      <c r="R176" s="1" t="s">
        <v>210</v>
      </c>
      <c r="S176" s="15">
        <v>20</v>
      </c>
      <c r="T176" s="42">
        <v>1</v>
      </c>
      <c r="U176" s="7">
        <v>0.09</v>
      </c>
      <c r="V176" s="7" t="s">
        <v>210</v>
      </c>
      <c r="W176" s="126">
        <v>20</v>
      </c>
      <c r="X176" s="13">
        <v>0</v>
      </c>
      <c r="Y176" s="1">
        <v>2</v>
      </c>
      <c r="Z176" s="17">
        <v>2</v>
      </c>
      <c r="AA176" s="13">
        <v>24</v>
      </c>
      <c r="AB176" s="1">
        <v>42</v>
      </c>
      <c r="AC176" s="1">
        <v>8</v>
      </c>
      <c r="AD176" s="17">
        <v>68</v>
      </c>
      <c r="AE176" s="42">
        <v>0.25</v>
      </c>
      <c r="AF176" s="7">
        <v>0.25</v>
      </c>
      <c r="AG176" s="7">
        <v>1.25</v>
      </c>
      <c r="AH176" s="7">
        <v>0.16</v>
      </c>
      <c r="AI176" s="48">
        <v>0.23</v>
      </c>
      <c r="AJ176" s="13">
        <v>0.14000000000000001</v>
      </c>
      <c r="AP176" s="17"/>
      <c r="AQ176" s="17"/>
      <c r="AR176" s="17"/>
      <c r="AS176" s="120"/>
      <c r="AT176" s="120"/>
      <c r="AY176" s="1" t="s">
        <v>305</v>
      </c>
    </row>
    <row r="177" spans="1:51">
      <c r="A177" s="1" t="s">
        <v>86</v>
      </c>
      <c r="B177" s="80">
        <v>40746</v>
      </c>
      <c r="C177" s="16" t="s">
        <v>217</v>
      </c>
      <c r="D177" s="106">
        <v>0.1</v>
      </c>
      <c r="E177" s="10">
        <v>0.16</v>
      </c>
      <c r="F177" s="1" t="s">
        <v>199</v>
      </c>
      <c r="G177" s="120">
        <v>100</v>
      </c>
      <c r="H177" s="106">
        <v>0.3</v>
      </c>
      <c r="I177" s="10">
        <v>0.16</v>
      </c>
      <c r="J177" s="1" t="s">
        <v>199</v>
      </c>
      <c r="K177" s="17">
        <v>100</v>
      </c>
      <c r="L177" s="106">
        <v>0.5</v>
      </c>
      <c r="M177" s="10">
        <v>0.17</v>
      </c>
      <c r="N177" s="1" t="s">
        <v>199</v>
      </c>
      <c r="O177" s="17">
        <v>100</v>
      </c>
      <c r="P177" s="42">
        <v>0.7</v>
      </c>
      <c r="Q177" s="7">
        <v>0.14000000000000001</v>
      </c>
      <c r="R177" s="1" t="s">
        <v>199</v>
      </c>
      <c r="S177" s="15">
        <v>100</v>
      </c>
      <c r="T177" s="42">
        <v>0.9</v>
      </c>
      <c r="U177" s="7">
        <v>0.08</v>
      </c>
      <c r="V177" s="7" t="s">
        <v>199</v>
      </c>
      <c r="W177" s="126">
        <v>100</v>
      </c>
      <c r="X177" s="13">
        <v>0</v>
      </c>
      <c r="Y177" s="1">
        <v>2</v>
      </c>
      <c r="Z177" s="17">
        <v>2</v>
      </c>
      <c r="AA177" s="13">
        <v>96</v>
      </c>
      <c r="AB177" s="1">
        <v>96</v>
      </c>
      <c r="AC177" s="1">
        <v>96</v>
      </c>
      <c r="AD177" s="17">
        <v>96</v>
      </c>
      <c r="AE177" s="42">
        <v>0.24</v>
      </c>
      <c r="AF177" s="7">
        <v>0</v>
      </c>
      <c r="AG177" s="7">
        <v>1.1599999999999999</v>
      </c>
      <c r="AH177" s="7">
        <v>0.16</v>
      </c>
      <c r="AI177" s="48">
        <v>0.11</v>
      </c>
      <c r="AP177" s="17"/>
      <c r="AQ177" s="17"/>
      <c r="AR177" s="17"/>
      <c r="AS177" s="120"/>
      <c r="AT177" s="120"/>
      <c r="AY177" s="1"/>
    </row>
    <row r="178" spans="1:51">
      <c r="A178" s="1" t="s">
        <v>86</v>
      </c>
      <c r="B178" s="80">
        <v>40746</v>
      </c>
      <c r="C178" s="16" t="s">
        <v>203</v>
      </c>
      <c r="D178" s="106">
        <v>0.1</v>
      </c>
      <c r="E178" s="10">
        <v>0.06</v>
      </c>
      <c r="F178" s="1" t="s">
        <v>210</v>
      </c>
      <c r="G178" s="120">
        <v>0</v>
      </c>
      <c r="H178" s="106">
        <v>0.3</v>
      </c>
      <c r="I178" s="10">
        <v>0.06</v>
      </c>
      <c r="J178" s="1" t="s">
        <v>210</v>
      </c>
      <c r="K178" s="17">
        <v>10</v>
      </c>
      <c r="L178" s="106">
        <v>0.5</v>
      </c>
      <c r="M178" s="10">
        <v>0.08</v>
      </c>
      <c r="N178" s="1" t="s">
        <v>207</v>
      </c>
      <c r="O178" s="17">
        <v>10</v>
      </c>
      <c r="P178" s="42">
        <v>0.7</v>
      </c>
      <c r="Q178" s="7">
        <v>0</v>
      </c>
      <c r="R178" s="1" t="s">
        <v>210</v>
      </c>
      <c r="S178" s="15">
        <v>0</v>
      </c>
      <c r="T178" s="42">
        <v>0.9</v>
      </c>
      <c r="U178" s="7">
        <v>0.06</v>
      </c>
      <c r="V178" s="7" t="s">
        <v>210</v>
      </c>
      <c r="W178" s="126">
        <v>10</v>
      </c>
      <c r="X178" s="13">
        <v>0</v>
      </c>
      <c r="Y178" s="1">
        <v>2</v>
      </c>
      <c r="Z178" s="17">
        <v>2</v>
      </c>
      <c r="AA178" s="13">
        <v>60</v>
      </c>
      <c r="AB178" s="1">
        <v>32</v>
      </c>
      <c r="AC178" s="1">
        <v>48</v>
      </c>
      <c r="AD178" s="17">
        <v>40</v>
      </c>
      <c r="AE178" s="42">
        <v>0.16</v>
      </c>
      <c r="AF178" s="7">
        <v>0.12</v>
      </c>
      <c r="AG178" s="7">
        <v>1</v>
      </c>
      <c r="AH178" s="7">
        <v>0.08</v>
      </c>
      <c r="AI178" s="48">
        <v>0.77</v>
      </c>
      <c r="AJ178" s="13">
        <v>0.15</v>
      </c>
      <c r="AK178" s="120">
        <v>1.56</v>
      </c>
      <c r="AL178" s="13" t="s">
        <v>210</v>
      </c>
      <c r="AM178" s="1" t="s">
        <v>210</v>
      </c>
      <c r="AN178" s="1" t="s">
        <v>210</v>
      </c>
      <c r="AO178" s="1" t="s">
        <v>210</v>
      </c>
      <c r="AP178" s="17" t="s">
        <v>210</v>
      </c>
      <c r="AQ178" s="17"/>
      <c r="AR178" s="17"/>
      <c r="AS178" s="120"/>
      <c r="AT178" s="120"/>
      <c r="AU178" s="1" t="s">
        <v>235</v>
      </c>
      <c r="AV178" s="24" t="s">
        <v>241</v>
      </c>
      <c r="AW178" s="86">
        <v>3</v>
      </c>
      <c r="AY178" s="1"/>
    </row>
    <row r="179" spans="1:51">
      <c r="A179" s="1" t="s">
        <v>86</v>
      </c>
      <c r="B179" s="80">
        <v>40746</v>
      </c>
      <c r="C179" s="16" t="s">
        <v>200</v>
      </c>
      <c r="D179" s="106">
        <v>0.1</v>
      </c>
      <c r="E179" s="10" t="s">
        <v>204</v>
      </c>
      <c r="H179" s="106">
        <v>0.5</v>
      </c>
      <c r="I179" s="10">
        <v>0.09</v>
      </c>
      <c r="J179" s="1" t="s">
        <v>199</v>
      </c>
      <c r="K179" s="17">
        <v>100</v>
      </c>
      <c r="L179" s="106">
        <v>0.9</v>
      </c>
      <c r="M179" s="10">
        <v>0.13</v>
      </c>
      <c r="N179" s="1" t="s">
        <v>199</v>
      </c>
      <c r="O179" s="17">
        <v>100</v>
      </c>
      <c r="P179" s="42">
        <v>1.3</v>
      </c>
      <c r="Q179" s="7">
        <v>0.16</v>
      </c>
      <c r="R179" s="1" t="s">
        <v>199</v>
      </c>
      <c r="S179" s="15">
        <v>100</v>
      </c>
      <c r="T179" s="42">
        <v>1.7</v>
      </c>
      <c r="U179" s="7">
        <v>0.11</v>
      </c>
      <c r="V179" s="7" t="s">
        <v>207</v>
      </c>
      <c r="W179" s="126">
        <v>20</v>
      </c>
      <c r="X179" s="13">
        <v>0</v>
      </c>
      <c r="Y179" s="1">
        <v>2</v>
      </c>
      <c r="Z179" s="17">
        <v>2</v>
      </c>
      <c r="AA179" s="13">
        <v>0</v>
      </c>
      <c r="AB179" s="1">
        <v>20</v>
      </c>
      <c r="AC179" s="1">
        <v>40</v>
      </c>
      <c r="AD179" s="17">
        <v>72</v>
      </c>
      <c r="AE179" s="42">
        <v>0.5</v>
      </c>
      <c r="AF179" s="7">
        <v>0</v>
      </c>
      <c r="AG179" s="7">
        <v>1.79</v>
      </c>
      <c r="AH179" s="7">
        <v>0.16</v>
      </c>
      <c r="AI179" s="48">
        <v>0.06</v>
      </c>
      <c r="AJ179" s="13">
        <v>0.12</v>
      </c>
      <c r="AK179" s="120">
        <v>1.17</v>
      </c>
      <c r="AL179" s="13" t="s">
        <v>199</v>
      </c>
      <c r="AM179" s="1" t="s">
        <v>199</v>
      </c>
      <c r="AN179" s="1" t="s">
        <v>199</v>
      </c>
      <c r="AO179" s="1" t="s">
        <v>199</v>
      </c>
      <c r="AP179" s="17" t="s">
        <v>199</v>
      </c>
      <c r="AQ179" s="17"/>
      <c r="AR179" s="17"/>
      <c r="AS179" s="120"/>
      <c r="AT179" s="120"/>
      <c r="AY179" s="1"/>
    </row>
    <row r="180" spans="1:51">
      <c r="A180" s="1" t="s">
        <v>84</v>
      </c>
      <c r="B180" s="80">
        <v>40743</v>
      </c>
      <c r="C180" s="16" t="s">
        <v>220</v>
      </c>
      <c r="D180" s="106">
        <v>0</v>
      </c>
      <c r="E180" s="10">
        <v>0.02</v>
      </c>
      <c r="F180" s="1" t="s">
        <v>201</v>
      </c>
      <c r="G180" s="120">
        <v>100</v>
      </c>
      <c r="H180" s="106">
        <v>0.52</v>
      </c>
      <c r="I180" s="10">
        <v>0.03</v>
      </c>
      <c r="J180" s="1" t="s">
        <v>200</v>
      </c>
      <c r="K180" s="17">
        <v>100</v>
      </c>
      <c r="L180" s="106">
        <v>1</v>
      </c>
      <c r="M180" s="10">
        <v>7.0000000000000007E-2</v>
      </c>
      <c r="N180" s="1" t="s">
        <v>201</v>
      </c>
      <c r="O180" s="17">
        <v>100</v>
      </c>
      <c r="P180" s="42">
        <v>1.52</v>
      </c>
      <c r="Q180" s="7">
        <v>0.08</v>
      </c>
      <c r="R180" s="1" t="s">
        <v>199</v>
      </c>
      <c r="S180" s="15">
        <v>100</v>
      </c>
      <c r="T180" s="42">
        <v>1.87</v>
      </c>
      <c r="U180" s="7">
        <v>3.5000000000000003E-2</v>
      </c>
      <c r="V180" s="7" t="s">
        <v>201</v>
      </c>
      <c r="W180" s="126">
        <v>100</v>
      </c>
      <c r="X180" s="13">
        <v>2</v>
      </c>
      <c r="Y180" s="1">
        <v>3</v>
      </c>
      <c r="Z180" s="17">
        <v>1</v>
      </c>
      <c r="AA180" s="13">
        <v>0</v>
      </c>
      <c r="AB180" s="1">
        <v>0</v>
      </c>
      <c r="AC180" s="1">
        <v>0</v>
      </c>
      <c r="AD180" s="17">
        <v>0</v>
      </c>
      <c r="AE180" s="42">
        <v>0</v>
      </c>
      <c r="AF180" s="7">
        <v>0</v>
      </c>
      <c r="AG180" s="7">
        <v>2.48</v>
      </c>
      <c r="AH180" s="7">
        <v>0.09</v>
      </c>
      <c r="AI180" s="48">
        <v>0.22</v>
      </c>
      <c r="AJ180" s="13">
        <v>0.52</v>
      </c>
      <c r="AK180" s="120">
        <v>3.18</v>
      </c>
      <c r="AL180" s="13" t="s">
        <v>201</v>
      </c>
      <c r="AM180" s="1" t="s">
        <v>201</v>
      </c>
      <c r="AN180" s="1" t="s">
        <v>201</v>
      </c>
      <c r="AO180" s="1" t="s">
        <v>201</v>
      </c>
      <c r="AP180" s="17" t="s">
        <v>201</v>
      </c>
      <c r="AQ180" s="17" t="s">
        <v>233</v>
      </c>
      <c r="AR180" s="17">
        <v>3.19</v>
      </c>
      <c r="AS180" s="120">
        <v>3.18</v>
      </c>
      <c r="AT180" s="120">
        <v>0.52</v>
      </c>
      <c r="AY180" s="1" t="s">
        <v>310</v>
      </c>
    </row>
    <row r="181" spans="1:51">
      <c r="A181" s="1" t="s">
        <v>84</v>
      </c>
      <c r="B181" s="80">
        <v>40743</v>
      </c>
      <c r="C181" s="16" t="s">
        <v>220</v>
      </c>
      <c r="AP181" s="17"/>
      <c r="AQ181" s="17" t="s">
        <v>233</v>
      </c>
      <c r="AR181" s="17">
        <v>2.5</v>
      </c>
      <c r="AS181" s="120">
        <v>2.16</v>
      </c>
      <c r="AT181" s="120">
        <v>0.62</v>
      </c>
      <c r="AY181" s="1"/>
    </row>
    <row r="182" spans="1:51">
      <c r="A182" s="1" t="s">
        <v>84</v>
      </c>
      <c r="B182" s="80">
        <v>40743</v>
      </c>
      <c r="C182" s="16" t="s">
        <v>220</v>
      </c>
      <c r="AP182" s="17"/>
      <c r="AQ182" s="17" t="s">
        <v>233</v>
      </c>
      <c r="AR182" s="17">
        <v>2.31</v>
      </c>
      <c r="AS182" s="120">
        <v>2.87</v>
      </c>
      <c r="AT182" s="120">
        <v>0.56999999999999995</v>
      </c>
      <c r="AY182" s="1"/>
    </row>
    <row r="183" spans="1:51">
      <c r="A183" s="1" t="s">
        <v>84</v>
      </c>
      <c r="B183" s="80">
        <v>40743</v>
      </c>
      <c r="C183" s="16" t="s">
        <v>219</v>
      </c>
      <c r="D183" s="106">
        <v>0</v>
      </c>
      <c r="E183" s="10">
        <v>0.37</v>
      </c>
      <c r="F183" s="1" t="s">
        <v>201</v>
      </c>
      <c r="G183" s="120">
        <v>100</v>
      </c>
      <c r="H183" s="106">
        <v>0.54</v>
      </c>
      <c r="I183" s="10">
        <v>0.42</v>
      </c>
      <c r="J183" s="1" t="s">
        <v>200</v>
      </c>
      <c r="K183" s="17">
        <v>100</v>
      </c>
      <c r="L183" s="106">
        <v>0.98</v>
      </c>
      <c r="M183" s="10">
        <v>0.38</v>
      </c>
      <c r="N183" s="1" t="s">
        <v>228</v>
      </c>
      <c r="O183" s="17">
        <v>25</v>
      </c>
      <c r="P183" s="42">
        <v>1.48</v>
      </c>
      <c r="Q183" s="7">
        <v>0.31</v>
      </c>
      <c r="R183" s="1" t="s">
        <v>228</v>
      </c>
      <c r="S183" s="15">
        <v>25</v>
      </c>
      <c r="T183" s="42">
        <v>1.96</v>
      </c>
      <c r="U183" s="7">
        <v>0.22</v>
      </c>
      <c r="V183" s="7" t="s">
        <v>201</v>
      </c>
      <c r="W183" s="126">
        <v>100</v>
      </c>
      <c r="X183" s="13">
        <v>1</v>
      </c>
      <c r="Y183" s="1">
        <v>4</v>
      </c>
      <c r="Z183" s="17">
        <v>1</v>
      </c>
      <c r="AA183" s="13">
        <v>0</v>
      </c>
      <c r="AB183" s="1">
        <v>0</v>
      </c>
      <c r="AC183" s="1">
        <v>0</v>
      </c>
      <c r="AD183" s="17">
        <v>0</v>
      </c>
      <c r="AE183" s="42">
        <v>0.24</v>
      </c>
      <c r="AF183" s="7">
        <v>0.25</v>
      </c>
      <c r="AG183" s="7">
        <v>2.42</v>
      </c>
      <c r="AH183" s="7" t="s">
        <v>307</v>
      </c>
      <c r="AI183" s="48">
        <v>0.05</v>
      </c>
      <c r="AJ183" s="13">
        <v>0.21</v>
      </c>
      <c r="AK183" s="120">
        <v>2.0699999999999998</v>
      </c>
      <c r="AL183" s="13" t="s">
        <v>201</v>
      </c>
      <c r="AM183" s="1" t="s">
        <v>201</v>
      </c>
      <c r="AN183" s="1" t="s">
        <v>207</v>
      </c>
      <c r="AO183" s="1" t="s">
        <v>225</v>
      </c>
      <c r="AP183" s="17" t="s">
        <v>201</v>
      </c>
      <c r="AQ183" s="17" t="s">
        <v>244</v>
      </c>
      <c r="AR183" s="17">
        <v>1.78</v>
      </c>
      <c r="AS183" s="120">
        <v>2.0499999999999998</v>
      </c>
      <c r="AT183" s="120">
        <v>0.28999999999999998</v>
      </c>
      <c r="AY183" s="1"/>
    </row>
    <row r="184" spans="1:51">
      <c r="A184" s="1" t="s">
        <v>84</v>
      </c>
      <c r="B184" s="80">
        <v>40743</v>
      </c>
      <c r="C184" s="16" t="s">
        <v>219</v>
      </c>
      <c r="AP184" s="17"/>
      <c r="AQ184" s="17" t="s">
        <v>244</v>
      </c>
      <c r="AR184" s="17">
        <v>2.2400000000000002</v>
      </c>
      <c r="AS184" s="120">
        <v>2.4700000000000002</v>
      </c>
      <c r="AT184" s="120">
        <v>0.31</v>
      </c>
      <c r="AY184" s="1"/>
    </row>
    <row r="185" spans="1:51">
      <c r="A185" s="1" t="s">
        <v>84</v>
      </c>
      <c r="B185" s="80">
        <v>40743</v>
      </c>
      <c r="C185" s="16" t="s">
        <v>219</v>
      </c>
      <c r="AP185" s="17"/>
      <c r="AQ185" s="17" t="s">
        <v>244</v>
      </c>
      <c r="AR185" s="17">
        <v>2.58</v>
      </c>
      <c r="AS185" s="120">
        <v>2.44</v>
      </c>
      <c r="AT185" s="120">
        <v>1.78</v>
      </c>
      <c r="AY185" s="1"/>
    </row>
    <row r="186" spans="1:51">
      <c r="A186" s="1" t="s">
        <v>84</v>
      </c>
      <c r="B186" s="80">
        <v>40743</v>
      </c>
      <c r="C186" s="16" t="s">
        <v>208</v>
      </c>
      <c r="D186" s="106">
        <v>0</v>
      </c>
      <c r="E186" s="10">
        <v>0</v>
      </c>
      <c r="F186" s="1" t="s">
        <v>201</v>
      </c>
      <c r="G186" s="120">
        <v>100</v>
      </c>
      <c r="H186" s="106">
        <v>0.76</v>
      </c>
      <c r="I186" s="10">
        <v>0.37</v>
      </c>
      <c r="J186" s="1" t="s">
        <v>201</v>
      </c>
      <c r="K186" s="17">
        <v>100</v>
      </c>
      <c r="L186" s="106">
        <v>1.42</v>
      </c>
      <c r="M186" s="10">
        <v>0.41</v>
      </c>
      <c r="N186" s="1" t="s">
        <v>207</v>
      </c>
      <c r="P186" s="42">
        <v>2.1</v>
      </c>
      <c r="Q186" s="7">
        <v>0.35</v>
      </c>
      <c r="R186" s="1" t="s">
        <v>201</v>
      </c>
      <c r="S186" s="15">
        <v>100</v>
      </c>
      <c r="T186" s="42">
        <v>2.44</v>
      </c>
      <c r="U186" s="7">
        <v>0.33</v>
      </c>
      <c r="V186" s="7" t="s">
        <v>201</v>
      </c>
      <c r="W186" s="126">
        <v>100</v>
      </c>
      <c r="X186" s="13">
        <v>1</v>
      </c>
      <c r="Y186" s="1">
        <v>4</v>
      </c>
      <c r="Z186" s="17">
        <v>2</v>
      </c>
      <c r="AA186" s="13">
        <v>2</v>
      </c>
      <c r="AB186" s="1">
        <v>0</v>
      </c>
      <c r="AC186" s="1">
        <v>2</v>
      </c>
      <c r="AD186" s="17">
        <v>12</v>
      </c>
      <c r="AE186" s="42">
        <v>0</v>
      </c>
      <c r="AF186" s="7">
        <v>0.43</v>
      </c>
      <c r="AG186" s="7">
        <v>2.87</v>
      </c>
      <c r="AH186" s="7">
        <v>0.12</v>
      </c>
      <c r="AI186" s="48">
        <v>0.02</v>
      </c>
      <c r="AJ186" s="13">
        <v>0.65</v>
      </c>
      <c r="AK186" s="120">
        <v>0.77</v>
      </c>
      <c r="AL186" s="13" t="s">
        <v>204</v>
      </c>
      <c r="AP186" s="17"/>
      <c r="AQ186" s="17" t="s">
        <v>218</v>
      </c>
      <c r="AR186" s="17">
        <v>3.98</v>
      </c>
      <c r="AS186" s="120">
        <v>3.8</v>
      </c>
      <c r="AT186" s="120">
        <v>0.91</v>
      </c>
      <c r="AY186" s="1"/>
    </row>
    <row r="187" spans="1:51">
      <c r="A187" s="1" t="s">
        <v>84</v>
      </c>
      <c r="B187" s="80">
        <v>40743</v>
      </c>
      <c r="C187" s="16" t="s">
        <v>217</v>
      </c>
      <c r="D187" s="106">
        <v>0</v>
      </c>
      <c r="E187" s="10">
        <v>0.01</v>
      </c>
      <c r="F187" s="1" t="s">
        <v>201</v>
      </c>
      <c r="G187" s="120">
        <v>100</v>
      </c>
      <c r="H187" s="106">
        <v>0.25</v>
      </c>
      <c r="I187" s="10">
        <v>0.03</v>
      </c>
      <c r="J187" s="1" t="s">
        <v>201</v>
      </c>
      <c r="K187" s="17">
        <v>100</v>
      </c>
      <c r="L187" s="106">
        <v>0.54</v>
      </c>
      <c r="M187" s="10">
        <v>0.13</v>
      </c>
      <c r="N187" s="1" t="s">
        <v>201</v>
      </c>
      <c r="O187" s="17">
        <v>100</v>
      </c>
      <c r="P187" s="42">
        <v>0.74</v>
      </c>
      <c r="Q187" s="7">
        <v>0.09</v>
      </c>
      <c r="R187" s="1" t="s">
        <v>201</v>
      </c>
      <c r="S187" s="15">
        <v>100</v>
      </c>
      <c r="T187" s="42">
        <v>1.08</v>
      </c>
      <c r="U187" s="7">
        <v>0.05</v>
      </c>
      <c r="V187" s="7" t="s">
        <v>201</v>
      </c>
      <c r="W187" s="126">
        <v>100</v>
      </c>
      <c r="X187" s="13">
        <v>2</v>
      </c>
      <c r="Y187" s="1">
        <v>3</v>
      </c>
      <c r="Z187" s="17">
        <v>0</v>
      </c>
      <c r="AA187" s="13">
        <v>0</v>
      </c>
      <c r="AB187" s="1">
        <v>0</v>
      </c>
      <c r="AC187" s="1">
        <v>0</v>
      </c>
      <c r="AD187" s="17">
        <v>0</v>
      </c>
      <c r="AE187" s="42">
        <v>0</v>
      </c>
      <c r="AF187" s="7">
        <v>0</v>
      </c>
      <c r="AG187" s="7">
        <v>1.08</v>
      </c>
      <c r="AH187" s="7">
        <v>0.14000000000000001</v>
      </c>
      <c r="AI187" s="48">
        <v>0.16</v>
      </c>
      <c r="AJ187" s="13">
        <v>0.19</v>
      </c>
      <c r="AK187" s="120">
        <v>1.3</v>
      </c>
      <c r="AL187" s="13" t="s">
        <v>201</v>
      </c>
      <c r="AM187" s="1" t="s">
        <v>210</v>
      </c>
      <c r="AN187" s="1" t="s">
        <v>207</v>
      </c>
      <c r="AO187" s="1" t="s">
        <v>201</v>
      </c>
      <c r="AP187" s="17" t="s">
        <v>201</v>
      </c>
      <c r="AQ187" s="17" t="s">
        <v>242</v>
      </c>
      <c r="AR187" s="17">
        <v>2.92</v>
      </c>
      <c r="AS187" s="120">
        <v>1.97</v>
      </c>
      <c r="AT187" s="120">
        <v>0.28999999999999998</v>
      </c>
      <c r="AY187" s="1"/>
    </row>
    <row r="188" spans="1:51">
      <c r="A188" s="1" t="s">
        <v>84</v>
      </c>
      <c r="B188" s="80">
        <v>40743</v>
      </c>
      <c r="C188" s="16" t="s">
        <v>217</v>
      </c>
      <c r="AP188" s="17"/>
      <c r="AQ188" s="17" t="s">
        <v>242</v>
      </c>
      <c r="AR188" s="17">
        <v>5.04</v>
      </c>
      <c r="AS188" s="120">
        <v>4</v>
      </c>
      <c r="AT188" s="120">
        <v>0.34</v>
      </c>
      <c r="AY188" s="1"/>
    </row>
    <row r="189" spans="1:51">
      <c r="A189" s="1" t="s">
        <v>84</v>
      </c>
      <c r="B189" s="80">
        <v>40743</v>
      </c>
      <c r="C189" s="16" t="s">
        <v>203</v>
      </c>
      <c r="D189" s="106">
        <v>0</v>
      </c>
      <c r="E189" s="10">
        <v>0.11</v>
      </c>
      <c r="F189" s="1" t="s">
        <v>210</v>
      </c>
      <c r="H189" s="106">
        <v>0.16</v>
      </c>
      <c r="I189" s="10">
        <v>0.17499999999999999</v>
      </c>
      <c r="J189" s="1" t="s">
        <v>210</v>
      </c>
      <c r="L189" s="106">
        <v>0.63</v>
      </c>
      <c r="M189" s="10">
        <v>0.1</v>
      </c>
      <c r="N189" s="1" t="s">
        <v>210</v>
      </c>
      <c r="P189" s="42">
        <v>0.83</v>
      </c>
      <c r="Q189" s="7">
        <v>7.4999999999999997E-2</v>
      </c>
      <c r="R189" s="1" t="s">
        <v>210</v>
      </c>
      <c r="T189" s="42">
        <v>1.33</v>
      </c>
      <c r="U189" s="7">
        <v>0.04</v>
      </c>
      <c r="V189" s="7" t="s">
        <v>201</v>
      </c>
      <c r="W189" s="126">
        <v>100</v>
      </c>
      <c r="X189" s="13">
        <v>2</v>
      </c>
      <c r="Y189" s="1">
        <v>3</v>
      </c>
      <c r="Z189" s="17">
        <v>1</v>
      </c>
      <c r="AA189" s="13">
        <v>0</v>
      </c>
      <c r="AB189" s="1">
        <v>0</v>
      </c>
      <c r="AC189" s="1">
        <v>0</v>
      </c>
      <c r="AD189" s="17">
        <v>0</v>
      </c>
      <c r="AE189" s="42">
        <v>0</v>
      </c>
      <c r="AF189" s="7">
        <v>0</v>
      </c>
      <c r="AG189" s="7">
        <v>1.33</v>
      </c>
      <c r="AH189" s="7">
        <v>0.14000000000000001</v>
      </c>
      <c r="AI189" s="48">
        <v>0.14000000000000001</v>
      </c>
      <c r="AJ189" s="13">
        <v>0.2</v>
      </c>
      <c r="AK189" s="120">
        <v>1.22</v>
      </c>
      <c r="AL189" s="13" t="s">
        <v>200</v>
      </c>
      <c r="AM189" s="1" t="s">
        <v>207</v>
      </c>
      <c r="AN189" s="1" t="s">
        <v>200</v>
      </c>
      <c r="AO189" s="1" t="s">
        <v>207</v>
      </c>
      <c r="AP189" s="17" t="s">
        <v>201</v>
      </c>
      <c r="AQ189" s="17"/>
      <c r="AR189" s="17"/>
      <c r="AS189" s="120"/>
      <c r="AT189" s="120"/>
      <c r="AY189" s="1" t="s">
        <v>308</v>
      </c>
    </row>
    <row r="190" spans="1:51">
      <c r="A190" s="1" t="s">
        <v>84</v>
      </c>
      <c r="B190" s="80">
        <v>40743</v>
      </c>
      <c r="C190" s="16" t="s">
        <v>200</v>
      </c>
      <c r="D190" s="106">
        <v>0</v>
      </c>
      <c r="E190" s="10">
        <v>0.01</v>
      </c>
      <c r="F190" s="1" t="s">
        <v>201</v>
      </c>
      <c r="G190" s="120">
        <v>100</v>
      </c>
      <c r="H190" s="106">
        <v>0.27</v>
      </c>
      <c r="I190" s="10">
        <v>7.0000000000000007E-2</v>
      </c>
      <c r="J190" s="1" t="s">
        <v>200</v>
      </c>
      <c r="K190" s="17">
        <v>100</v>
      </c>
      <c r="L190" s="106">
        <v>0.5</v>
      </c>
      <c r="M190" s="10">
        <v>0.1</v>
      </c>
      <c r="N190" s="1" t="s">
        <v>201</v>
      </c>
      <c r="O190" s="17">
        <v>100</v>
      </c>
      <c r="P190" s="42">
        <v>0.75</v>
      </c>
      <c r="Q190" s="7">
        <v>0.12</v>
      </c>
      <c r="R190" s="1" t="s">
        <v>207</v>
      </c>
      <c r="T190" s="42">
        <v>0.98</v>
      </c>
      <c r="U190" s="7">
        <v>0.02</v>
      </c>
      <c r="V190" s="7" t="s">
        <v>201</v>
      </c>
      <c r="W190" s="126">
        <v>100</v>
      </c>
      <c r="X190" s="13">
        <v>1</v>
      </c>
      <c r="Y190" s="1">
        <v>3</v>
      </c>
      <c r="Z190" s="17">
        <v>0</v>
      </c>
      <c r="AA190" s="13">
        <v>0</v>
      </c>
      <c r="AB190" s="1">
        <v>0</v>
      </c>
      <c r="AC190" s="1">
        <v>0</v>
      </c>
      <c r="AD190" s="17">
        <v>0</v>
      </c>
      <c r="AE190" s="42">
        <v>0</v>
      </c>
      <c r="AF190" s="7">
        <v>0</v>
      </c>
      <c r="AG190" s="7">
        <v>0.98</v>
      </c>
      <c r="AH190" s="7">
        <v>0.12</v>
      </c>
      <c r="AI190" s="48">
        <v>0.15</v>
      </c>
      <c r="AJ190" s="13">
        <v>0.14000000000000001</v>
      </c>
      <c r="AK190" s="120">
        <v>1.2</v>
      </c>
      <c r="AL190" s="13" t="s">
        <v>200</v>
      </c>
      <c r="AM190" s="1" t="s">
        <v>207</v>
      </c>
      <c r="AN190" s="1" t="s">
        <v>207</v>
      </c>
      <c r="AO190" s="1" t="s">
        <v>207</v>
      </c>
      <c r="AP190" s="17" t="s">
        <v>207</v>
      </c>
      <c r="AQ190" s="17"/>
      <c r="AR190" s="17"/>
      <c r="AS190" s="120"/>
      <c r="AT190" s="120"/>
      <c r="AY190" s="1" t="s">
        <v>309</v>
      </c>
    </row>
    <row r="191" spans="1:51">
      <c r="A191" s="1" t="s">
        <v>84</v>
      </c>
      <c r="B191" s="80">
        <v>40743</v>
      </c>
      <c r="C191" s="16" t="s">
        <v>198</v>
      </c>
      <c r="D191" s="106">
        <v>0</v>
      </c>
      <c r="E191" s="10">
        <v>0.1</v>
      </c>
      <c r="F191" s="1" t="s">
        <v>201</v>
      </c>
      <c r="G191" s="120">
        <v>100</v>
      </c>
      <c r="H191" s="106">
        <v>0.5</v>
      </c>
      <c r="I191" s="10">
        <v>0.15</v>
      </c>
      <c r="J191" s="1" t="s">
        <v>207</v>
      </c>
      <c r="L191" s="106">
        <v>1</v>
      </c>
      <c r="M191" s="10">
        <v>0.13</v>
      </c>
      <c r="N191" s="1" t="s">
        <v>207</v>
      </c>
      <c r="P191" s="42">
        <v>1.5</v>
      </c>
      <c r="Q191" s="7">
        <v>0.14000000000000001</v>
      </c>
      <c r="R191" s="1" t="s">
        <v>201</v>
      </c>
      <c r="S191" s="15">
        <v>100</v>
      </c>
      <c r="T191" s="42">
        <v>1.95</v>
      </c>
      <c r="U191" s="7">
        <v>0</v>
      </c>
      <c r="V191" s="7" t="s">
        <v>201</v>
      </c>
      <c r="W191" s="126">
        <v>100</v>
      </c>
      <c r="X191" s="13">
        <v>0</v>
      </c>
      <c r="Y191" s="1">
        <v>3</v>
      </c>
      <c r="Z191" s="17">
        <v>0</v>
      </c>
      <c r="AA191" s="13">
        <v>0</v>
      </c>
      <c r="AB191" s="1">
        <v>0</v>
      </c>
      <c r="AC191" s="1">
        <v>0</v>
      </c>
      <c r="AD191" s="17">
        <v>0</v>
      </c>
      <c r="AE191" s="42">
        <v>0</v>
      </c>
      <c r="AF191" s="7">
        <v>0</v>
      </c>
      <c r="AG191" s="7">
        <v>1.95</v>
      </c>
      <c r="AH191" s="7">
        <v>0.16</v>
      </c>
      <c r="AI191" s="48">
        <v>0.06</v>
      </c>
      <c r="AP191" s="17"/>
      <c r="AQ191" s="17"/>
      <c r="AR191" s="17"/>
      <c r="AS191" s="120"/>
      <c r="AT191" s="120"/>
      <c r="AY191" s="1"/>
    </row>
    <row r="192" spans="1:51">
      <c r="A192" s="1" t="s">
        <v>80</v>
      </c>
      <c r="B192" s="80">
        <v>40739</v>
      </c>
      <c r="C192" s="16" t="s">
        <v>220</v>
      </c>
      <c r="D192" s="106">
        <v>0.15</v>
      </c>
      <c r="E192" s="10">
        <v>0.09</v>
      </c>
      <c r="F192" s="1" t="s">
        <v>210</v>
      </c>
      <c r="G192" s="120">
        <v>10</v>
      </c>
      <c r="H192" s="106">
        <v>0.45</v>
      </c>
      <c r="I192" s="10">
        <v>0.15</v>
      </c>
      <c r="J192" s="1" t="s">
        <v>210</v>
      </c>
      <c r="K192" s="17">
        <v>10</v>
      </c>
      <c r="L192" s="106">
        <v>0.8</v>
      </c>
      <c r="M192" s="10">
        <v>0.18</v>
      </c>
      <c r="N192" s="1" t="s">
        <v>210</v>
      </c>
      <c r="O192" s="17">
        <v>20</v>
      </c>
      <c r="P192" s="42">
        <v>1.1499999999999999</v>
      </c>
      <c r="Q192" s="7">
        <v>0.18</v>
      </c>
      <c r="R192" s="1" t="s">
        <v>210</v>
      </c>
      <c r="S192" s="15">
        <v>20</v>
      </c>
      <c r="T192" s="42">
        <v>1.45</v>
      </c>
      <c r="U192" s="7">
        <v>0.11</v>
      </c>
      <c r="V192" s="7" t="s">
        <v>210</v>
      </c>
      <c r="W192" s="126">
        <v>20</v>
      </c>
      <c r="X192" s="13">
        <v>3</v>
      </c>
      <c r="Y192" s="1">
        <v>3</v>
      </c>
      <c r="Z192" s="17">
        <v>0</v>
      </c>
      <c r="AA192" s="13">
        <v>0</v>
      </c>
      <c r="AB192" s="1">
        <v>0</v>
      </c>
      <c r="AC192" s="1">
        <v>0</v>
      </c>
      <c r="AD192" s="17">
        <v>0</v>
      </c>
      <c r="AE192" s="42">
        <v>0</v>
      </c>
      <c r="AF192" s="7">
        <v>0</v>
      </c>
      <c r="AG192" s="7">
        <v>1.69</v>
      </c>
      <c r="AH192" s="7">
        <v>0.18</v>
      </c>
      <c r="AI192" s="48">
        <v>0.05</v>
      </c>
      <c r="AJ192" s="13">
        <v>0.09</v>
      </c>
      <c r="AK192" s="120">
        <v>1</v>
      </c>
      <c r="AL192" s="13" t="s">
        <v>225</v>
      </c>
      <c r="AM192" s="1" t="s">
        <v>225</v>
      </c>
      <c r="AN192" s="1" t="s">
        <v>225</v>
      </c>
      <c r="AO192" s="1" t="s">
        <v>210</v>
      </c>
      <c r="AP192" s="17" t="s">
        <v>210</v>
      </c>
      <c r="AQ192" s="17" t="s">
        <v>233</v>
      </c>
      <c r="AR192" s="17">
        <v>0.75</v>
      </c>
      <c r="AS192" s="120">
        <v>1.4</v>
      </c>
      <c r="AT192" s="120">
        <v>0.09</v>
      </c>
      <c r="AY192" s="1"/>
    </row>
    <row r="193" spans="1:51">
      <c r="A193" s="1" t="s">
        <v>80</v>
      </c>
      <c r="B193" s="80">
        <v>40739</v>
      </c>
      <c r="C193" s="16" t="s">
        <v>219</v>
      </c>
      <c r="D193" s="106">
        <v>0.1</v>
      </c>
      <c r="E193" s="10">
        <v>0</v>
      </c>
      <c r="F193" s="1" t="s">
        <v>199</v>
      </c>
      <c r="G193" s="120">
        <v>100</v>
      </c>
      <c r="H193" s="106">
        <v>0.3</v>
      </c>
      <c r="I193" s="10">
        <v>0.01</v>
      </c>
      <c r="J193" s="1" t="s">
        <v>210</v>
      </c>
      <c r="K193" s="17">
        <v>10</v>
      </c>
      <c r="L193" s="106">
        <v>0.6</v>
      </c>
      <c r="M193" s="10">
        <v>0.1</v>
      </c>
      <c r="N193" s="1" t="s">
        <v>199</v>
      </c>
      <c r="O193" s="17">
        <v>100</v>
      </c>
      <c r="P193" s="42">
        <v>0.75</v>
      </c>
      <c r="Q193" s="7">
        <v>0</v>
      </c>
      <c r="R193" s="1" t="s">
        <v>225</v>
      </c>
      <c r="S193" s="15">
        <v>10</v>
      </c>
      <c r="T193" s="42">
        <v>0.9</v>
      </c>
      <c r="U193" s="7" t="s">
        <v>204</v>
      </c>
      <c r="X193" s="13">
        <v>0</v>
      </c>
      <c r="Y193" s="1">
        <v>1</v>
      </c>
      <c r="Z193" s="17">
        <v>3</v>
      </c>
      <c r="AA193" s="13">
        <v>4</v>
      </c>
      <c r="AB193" s="1">
        <v>0</v>
      </c>
      <c r="AC193" s="1">
        <v>0</v>
      </c>
      <c r="AD193" s="17">
        <v>3</v>
      </c>
      <c r="AE193" s="42">
        <v>0</v>
      </c>
      <c r="AF193" s="7">
        <v>0.35</v>
      </c>
      <c r="AG193" s="7">
        <v>1.06</v>
      </c>
      <c r="AH193" s="7">
        <v>0.09</v>
      </c>
      <c r="AI193" s="48">
        <v>0.15</v>
      </c>
      <c r="AJ193" s="13">
        <v>0.08</v>
      </c>
      <c r="AK193" s="120">
        <v>8.5000000000000006E-2</v>
      </c>
      <c r="AL193" s="13" t="s">
        <v>210</v>
      </c>
      <c r="AM193" s="1" t="s">
        <v>210</v>
      </c>
      <c r="AN193" s="1" t="s">
        <v>210</v>
      </c>
      <c r="AO193" s="1" t="s">
        <v>210</v>
      </c>
      <c r="AP193" s="17" t="s">
        <v>210</v>
      </c>
      <c r="AQ193" s="17"/>
      <c r="AR193" s="17"/>
      <c r="AS193" s="120"/>
      <c r="AT193" s="120"/>
      <c r="AY193" s="1" t="s">
        <v>311</v>
      </c>
    </row>
    <row r="194" spans="1:51">
      <c r="A194" s="1" t="s">
        <v>80</v>
      </c>
      <c r="B194" s="80">
        <v>40739</v>
      </c>
      <c r="C194" s="16" t="s">
        <v>208</v>
      </c>
      <c r="D194" s="106">
        <v>0.08</v>
      </c>
      <c r="E194" s="10">
        <v>0.04</v>
      </c>
      <c r="F194" s="1" t="s">
        <v>199</v>
      </c>
      <c r="G194" s="120">
        <v>100</v>
      </c>
      <c r="H194" s="106">
        <v>0.3</v>
      </c>
      <c r="I194" s="10">
        <v>0.09</v>
      </c>
      <c r="J194" s="1" t="s">
        <v>202</v>
      </c>
      <c r="K194" s="17">
        <v>0</v>
      </c>
      <c r="L194" s="106">
        <v>0.54</v>
      </c>
      <c r="M194" s="10">
        <v>0.11</v>
      </c>
      <c r="N194" s="1" t="s">
        <v>207</v>
      </c>
      <c r="O194" s="17">
        <v>20</v>
      </c>
      <c r="P194" s="42">
        <v>0.75</v>
      </c>
      <c r="Q194" s="7">
        <v>0.1</v>
      </c>
      <c r="R194" s="1" t="s">
        <v>207</v>
      </c>
      <c r="T194" s="42">
        <v>0.95</v>
      </c>
      <c r="U194" s="7" t="s">
        <v>204</v>
      </c>
      <c r="X194" s="13">
        <v>0</v>
      </c>
      <c r="Y194" s="1">
        <v>2</v>
      </c>
      <c r="Z194" s="17">
        <v>4</v>
      </c>
      <c r="AA194" s="13">
        <v>96</v>
      </c>
      <c r="AB194" s="1">
        <v>96</v>
      </c>
      <c r="AC194" s="1">
        <v>96</v>
      </c>
      <c r="AD194" s="17">
        <v>96</v>
      </c>
      <c r="AE194" s="42">
        <v>0</v>
      </c>
      <c r="AF194" s="7">
        <v>0.2</v>
      </c>
      <c r="AG194" s="7">
        <v>1.06</v>
      </c>
      <c r="AH194" s="7">
        <v>0.08</v>
      </c>
      <c r="AI194" s="48">
        <v>0.14000000000000001</v>
      </c>
      <c r="AK194" s="120">
        <v>1.7</v>
      </c>
      <c r="AL194" s="13" t="s">
        <v>207</v>
      </c>
      <c r="AM194" s="1" t="s">
        <v>207</v>
      </c>
      <c r="AN194" s="1" t="s">
        <v>207</v>
      </c>
      <c r="AO194" s="1" t="s">
        <v>207</v>
      </c>
      <c r="AP194" s="17" t="s">
        <v>207</v>
      </c>
      <c r="AQ194" s="17"/>
      <c r="AR194" s="17"/>
      <c r="AS194" s="120"/>
      <c r="AT194" s="120"/>
      <c r="AU194" s="1" t="s">
        <v>235</v>
      </c>
      <c r="AV194" s="24" t="s">
        <v>241</v>
      </c>
      <c r="AW194" s="86">
        <v>4</v>
      </c>
      <c r="AY194" s="1" t="s">
        <v>312</v>
      </c>
    </row>
    <row r="195" spans="1:51">
      <c r="A195" s="1" t="s">
        <v>80</v>
      </c>
      <c r="B195" s="80">
        <v>40739</v>
      </c>
      <c r="C195" s="16" t="s">
        <v>217</v>
      </c>
      <c r="D195" s="106">
        <v>0.1</v>
      </c>
      <c r="E195" s="10">
        <v>0.01</v>
      </c>
      <c r="F195" s="1" t="s">
        <v>207</v>
      </c>
      <c r="G195" s="120">
        <v>10</v>
      </c>
      <c r="H195" s="106">
        <v>0.35</v>
      </c>
      <c r="I195" s="10">
        <v>0.12</v>
      </c>
      <c r="J195" s="1" t="s">
        <v>210</v>
      </c>
      <c r="K195" s="17">
        <v>20</v>
      </c>
      <c r="L195" s="106">
        <v>0.5</v>
      </c>
      <c r="M195" s="10">
        <v>0.12</v>
      </c>
      <c r="N195" s="1" t="s">
        <v>210</v>
      </c>
      <c r="O195" s="17">
        <v>10</v>
      </c>
      <c r="P195" s="42">
        <v>0.75</v>
      </c>
      <c r="Q195" s="7">
        <v>0.04</v>
      </c>
      <c r="R195" s="1" t="s">
        <v>207</v>
      </c>
      <c r="S195" s="15">
        <v>30</v>
      </c>
      <c r="T195" s="42">
        <v>0.85</v>
      </c>
      <c r="U195" s="7">
        <v>0.01</v>
      </c>
      <c r="V195" s="7" t="s">
        <v>207</v>
      </c>
      <c r="W195" s="126">
        <v>30</v>
      </c>
      <c r="X195" s="13">
        <v>0</v>
      </c>
      <c r="Y195" s="1">
        <v>2</v>
      </c>
      <c r="Z195" s="17">
        <v>4</v>
      </c>
      <c r="AA195" s="13">
        <v>96</v>
      </c>
      <c r="AB195" s="1">
        <v>96</v>
      </c>
      <c r="AC195" s="1">
        <v>96</v>
      </c>
      <c r="AD195" s="17">
        <v>96</v>
      </c>
      <c r="AE195" s="42">
        <v>0</v>
      </c>
      <c r="AF195" s="7">
        <v>0</v>
      </c>
      <c r="AG195" s="7">
        <v>0.85</v>
      </c>
      <c r="AH195" s="7">
        <v>0.08</v>
      </c>
      <c r="AI195" s="48">
        <v>0.08</v>
      </c>
      <c r="AJ195" s="13">
        <v>0.04</v>
      </c>
      <c r="AK195" s="120">
        <v>0.88</v>
      </c>
      <c r="AL195" s="13" t="s">
        <v>225</v>
      </c>
      <c r="AM195" s="1" t="s">
        <v>210</v>
      </c>
      <c r="AN195" s="1" t="s">
        <v>207</v>
      </c>
      <c r="AO195" s="1" t="s">
        <v>207</v>
      </c>
      <c r="AP195" s="17" t="s">
        <v>202</v>
      </c>
      <c r="AQ195" s="17"/>
      <c r="AR195" s="17"/>
      <c r="AS195" s="120"/>
      <c r="AT195" s="120"/>
      <c r="AU195" s="1" t="s">
        <v>235</v>
      </c>
      <c r="AV195" s="24" t="s">
        <v>241</v>
      </c>
      <c r="AW195" s="86">
        <v>7</v>
      </c>
      <c r="AY195" s="1"/>
    </row>
    <row r="196" spans="1:51">
      <c r="A196" s="1" t="s">
        <v>80</v>
      </c>
      <c r="B196" s="80">
        <v>40739</v>
      </c>
      <c r="C196" s="16" t="s">
        <v>203</v>
      </c>
      <c r="D196" s="106">
        <v>0.1</v>
      </c>
      <c r="E196" s="10">
        <v>0.03</v>
      </c>
      <c r="F196" s="1" t="s">
        <v>210</v>
      </c>
      <c r="G196" s="120">
        <v>10</v>
      </c>
      <c r="H196" s="106">
        <v>0.2</v>
      </c>
      <c r="I196" s="10">
        <v>0.04</v>
      </c>
      <c r="J196" s="1" t="s">
        <v>210</v>
      </c>
      <c r="K196" s="17">
        <v>10</v>
      </c>
      <c r="L196" s="106">
        <v>0.25</v>
      </c>
      <c r="M196" s="10">
        <v>0.04</v>
      </c>
      <c r="N196" s="1" t="s">
        <v>210</v>
      </c>
      <c r="O196" s="17">
        <v>10</v>
      </c>
      <c r="P196" s="42">
        <v>0.35</v>
      </c>
      <c r="Q196" s="7">
        <v>0.03</v>
      </c>
      <c r="R196" s="1" t="s">
        <v>210</v>
      </c>
      <c r="S196" s="15">
        <v>10</v>
      </c>
      <c r="T196" s="42">
        <v>0.45</v>
      </c>
      <c r="U196" s="7">
        <v>0.01</v>
      </c>
      <c r="V196" s="7" t="s">
        <v>210</v>
      </c>
      <c r="W196" s="126">
        <v>10</v>
      </c>
      <c r="X196" s="13">
        <v>3</v>
      </c>
      <c r="Y196" s="1">
        <v>3</v>
      </c>
      <c r="Z196" s="17">
        <v>3</v>
      </c>
      <c r="AA196" s="13">
        <v>38</v>
      </c>
      <c r="AB196" s="1">
        <v>73</v>
      </c>
      <c r="AC196" s="1">
        <v>60</v>
      </c>
      <c r="AD196" s="17">
        <v>96</v>
      </c>
      <c r="AE196" s="42">
        <v>0</v>
      </c>
      <c r="AF196" s="7">
        <v>0</v>
      </c>
      <c r="AG196" s="7">
        <v>0.53</v>
      </c>
      <c r="AH196" s="7">
        <v>0.02</v>
      </c>
      <c r="AI196" s="48">
        <v>0.14000000000000001</v>
      </c>
      <c r="AJ196" s="13">
        <v>0.08</v>
      </c>
      <c r="AK196" s="120">
        <v>1.08</v>
      </c>
      <c r="AL196" s="13" t="s">
        <v>199</v>
      </c>
      <c r="AM196" s="1" t="s">
        <v>210</v>
      </c>
      <c r="AN196" s="1" t="s">
        <v>199</v>
      </c>
      <c r="AO196" s="1" t="s">
        <v>199</v>
      </c>
      <c r="AP196" s="17" t="s">
        <v>199</v>
      </c>
      <c r="AQ196" s="17" t="s">
        <v>267</v>
      </c>
      <c r="AR196" s="17">
        <v>3</v>
      </c>
      <c r="AS196" s="120">
        <v>1.72</v>
      </c>
      <c r="AT196" s="120">
        <v>0.15</v>
      </c>
      <c r="AY196" s="1"/>
    </row>
    <row r="197" spans="1:51">
      <c r="A197" s="1" t="s">
        <v>80</v>
      </c>
      <c r="B197" s="80">
        <v>40739</v>
      </c>
      <c r="C197" s="16" t="s">
        <v>200</v>
      </c>
      <c r="D197" s="106">
        <v>0.2</v>
      </c>
      <c r="E197" s="10">
        <v>0.22</v>
      </c>
      <c r="F197" s="1" t="s">
        <v>199</v>
      </c>
      <c r="G197" s="120">
        <v>100</v>
      </c>
      <c r="H197" s="106">
        <v>0.4</v>
      </c>
      <c r="I197" s="10">
        <v>0.1</v>
      </c>
      <c r="J197" s="1" t="s">
        <v>202</v>
      </c>
      <c r="K197" s="17">
        <v>0</v>
      </c>
      <c r="L197" s="106">
        <v>0.6</v>
      </c>
      <c r="M197" s="10">
        <v>0.1</v>
      </c>
      <c r="N197" s="1" t="s">
        <v>202</v>
      </c>
      <c r="O197" s="17">
        <v>0</v>
      </c>
      <c r="P197" s="42">
        <v>0.8</v>
      </c>
      <c r="Q197" s="7">
        <v>0.2</v>
      </c>
      <c r="R197" s="1" t="s">
        <v>207</v>
      </c>
      <c r="S197" s="15">
        <v>60</v>
      </c>
      <c r="T197" s="42">
        <v>1</v>
      </c>
      <c r="U197" s="7">
        <v>0.1</v>
      </c>
      <c r="V197" s="7" t="s">
        <v>210</v>
      </c>
      <c r="W197" s="126">
        <v>20</v>
      </c>
      <c r="X197" s="13">
        <v>0</v>
      </c>
      <c r="Y197" s="1">
        <v>2</v>
      </c>
      <c r="Z197" s="17">
        <v>3</v>
      </c>
      <c r="AA197" s="13">
        <v>34</v>
      </c>
      <c r="AB197" s="1">
        <v>39</v>
      </c>
      <c r="AC197" s="1">
        <v>24</v>
      </c>
      <c r="AD197" s="17">
        <v>44</v>
      </c>
      <c r="AE197" s="42">
        <v>0.19</v>
      </c>
      <c r="AF197" s="7">
        <v>0.18</v>
      </c>
      <c r="AG197" s="7">
        <v>1.23</v>
      </c>
      <c r="AH197" s="7">
        <v>0.22</v>
      </c>
      <c r="AI197" s="48">
        <v>0.02</v>
      </c>
      <c r="AJ197" s="13">
        <v>0.04</v>
      </c>
      <c r="AK197" s="120">
        <v>0.6</v>
      </c>
      <c r="AL197" s="13" t="s">
        <v>199</v>
      </c>
      <c r="AM197" s="1" t="s">
        <v>210</v>
      </c>
      <c r="AN197" s="1" t="s">
        <v>207</v>
      </c>
      <c r="AO197" s="1" t="s">
        <v>207</v>
      </c>
      <c r="AP197" s="17" t="s">
        <v>207</v>
      </c>
      <c r="AQ197" s="17"/>
      <c r="AR197" s="17"/>
      <c r="AS197" s="120"/>
      <c r="AT197" s="120"/>
      <c r="AU197" s="1" t="s">
        <v>235</v>
      </c>
      <c r="AV197" s="24" t="s">
        <v>241</v>
      </c>
      <c r="AW197" s="86">
        <v>3</v>
      </c>
      <c r="AY197" s="1"/>
    </row>
    <row r="198" spans="1:51">
      <c r="A198" s="1" t="s">
        <v>80</v>
      </c>
      <c r="B198" s="80">
        <v>40739</v>
      </c>
      <c r="C198" s="16" t="s">
        <v>198</v>
      </c>
      <c r="D198" s="106">
        <v>0.1</v>
      </c>
      <c r="E198" s="10">
        <v>0.08</v>
      </c>
      <c r="F198" s="1" t="s">
        <v>199</v>
      </c>
      <c r="G198" s="120">
        <v>100</v>
      </c>
      <c r="H198" s="106">
        <v>0.3</v>
      </c>
      <c r="I198" s="10">
        <v>0.1</v>
      </c>
      <c r="J198" s="1" t="s">
        <v>199</v>
      </c>
      <c r="K198" s="17">
        <v>100</v>
      </c>
      <c r="L198" s="106">
        <v>0.6</v>
      </c>
      <c r="M198" s="10">
        <v>0.08</v>
      </c>
      <c r="N198" s="1" t="s">
        <v>199</v>
      </c>
      <c r="O198" s="17">
        <v>100</v>
      </c>
      <c r="P198" s="42">
        <v>0.85</v>
      </c>
      <c r="Q198" s="7">
        <v>0.09</v>
      </c>
      <c r="R198" s="1" t="s">
        <v>199</v>
      </c>
      <c r="S198" s="15">
        <v>100</v>
      </c>
      <c r="T198" s="42" t="s">
        <v>204</v>
      </c>
      <c r="X198" s="13">
        <v>0</v>
      </c>
      <c r="Y198" s="1">
        <v>1</v>
      </c>
      <c r="Z198" s="17">
        <v>2</v>
      </c>
      <c r="AA198" s="13">
        <v>64</v>
      </c>
      <c r="AB198" s="1">
        <v>72</v>
      </c>
      <c r="AC198" s="1">
        <v>8</v>
      </c>
      <c r="AD198" s="17">
        <v>0</v>
      </c>
      <c r="AE198" s="42">
        <v>0</v>
      </c>
      <c r="AF198" s="7" t="s">
        <v>204</v>
      </c>
      <c r="AG198" s="7" t="s">
        <v>204</v>
      </c>
      <c r="AH198" s="7" t="s">
        <v>204</v>
      </c>
      <c r="AI198" s="48" t="s">
        <v>204</v>
      </c>
      <c r="AP198" s="17"/>
      <c r="AQ198" s="17"/>
      <c r="AR198" s="17"/>
      <c r="AS198" s="120"/>
      <c r="AT198" s="120"/>
      <c r="AY198" s="1"/>
    </row>
    <row r="199" spans="1:51">
      <c r="A199" s="1" t="s">
        <v>79</v>
      </c>
      <c r="B199" s="80">
        <v>40738</v>
      </c>
      <c r="C199" s="16" t="s">
        <v>220</v>
      </c>
      <c r="D199" s="106">
        <v>0.22</v>
      </c>
      <c r="E199" s="10">
        <v>0.19</v>
      </c>
      <c r="F199" s="1" t="s">
        <v>199</v>
      </c>
      <c r="G199" s="120">
        <v>100</v>
      </c>
      <c r="H199" s="106">
        <v>0.87</v>
      </c>
      <c r="I199" s="10">
        <v>0.24</v>
      </c>
      <c r="J199" s="1" t="s">
        <v>225</v>
      </c>
      <c r="K199" s="17">
        <v>75</v>
      </c>
      <c r="L199" s="106">
        <v>1.47</v>
      </c>
      <c r="M199" s="10">
        <v>0</v>
      </c>
      <c r="N199" s="1" t="s">
        <v>228</v>
      </c>
      <c r="O199" s="17">
        <v>0</v>
      </c>
      <c r="P199" s="42">
        <v>1.87</v>
      </c>
      <c r="Q199" s="7">
        <v>0.18</v>
      </c>
      <c r="R199" s="1" t="s">
        <v>210</v>
      </c>
      <c r="S199" s="15">
        <v>10</v>
      </c>
      <c r="T199" s="42">
        <v>2.57</v>
      </c>
      <c r="U199" s="7">
        <v>0.12</v>
      </c>
      <c r="V199" s="7" t="s">
        <v>199</v>
      </c>
      <c r="W199" s="126">
        <v>100</v>
      </c>
      <c r="X199" s="13">
        <v>0</v>
      </c>
      <c r="Y199" s="1">
        <v>1</v>
      </c>
      <c r="Z199" s="17">
        <v>0</v>
      </c>
      <c r="AA199" s="13">
        <v>0</v>
      </c>
      <c r="AB199" s="1">
        <v>0</v>
      </c>
      <c r="AC199" s="1">
        <v>0</v>
      </c>
      <c r="AD199" s="17">
        <v>0</v>
      </c>
      <c r="AE199" s="42">
        <v>0</v>
      </c>
      <c r="AF199" s="7">
        <v>0</v>
      </c>
      <c r="AG199" s="7">
        <v>2.87</v>
      </c>
      <c r="AH199" s="7">
        <v>0.08</v>
      </c>
      <c r="AI199" s="48">
        <v>0.42</v>
      </c>
      <c r="AJ199" s="13">
        <v>0.18</v>
      </c>
      <c r="AK199" s="120">
        <v>2.8</v>
      </c>
      <c r="AL199" s="13" t="s">
        <v>210</v>
      </c>
      <c r="AM199" s="1" t="s">
        <v>210</v>
      </c>
      <c r="AN199" s="1" t="s">
        <v>210</v>
      </c>
      <c r="AO199" s="1" t="s">
        <v>210</v>
      </c>
      <c r="AP199" s="17" t="s">
        <v>210</v>
      </c>
      <c r="AQ199" s="17" t="s">
        <v>233</v>
      </c>
      <c r="AR199" s="17">
        <v>2</v>
      </c>
      <c r="AS199" s="120">
        <v>1.57</v>
      </c>
      <c r="AT199" s="120">
        <v>0.3</v>
      </c>
      <c r="AY199" s="1"/>
    </row>
    <row r="200" spans="1:51">
      <c r="A200" s="1" t="s">
        <v>79</v>
      </c>
      <c r="B200" s="80">
        <v>40738</v>
      </c>
      <c r="C200" s="16" t="s">
        <v>219</v>
      </c>
      <c r="D200" s="106">
        <v>0.6</v>
      </c>
      <c r="E200" s="10">
        <v>0.04</v>
      </c>
      <c r="F200" s="1" t="s">
        <v>210</v>
      </c>
      <c r="G200" s="120">
        <v>20</v>
      </c>
      <c r="H200" s="106">
        <v>1.3</v>
      </c>
      <c r="I200" s="10">
        <v>0.06</v>
      </c>
      <c r="J200" s="1" t="s">
        <v>207</v>
      </c>
      <c r="K200" s="17">
        <v>10</v>
      </c>
      <c r="L200" s="106">
        <v>2.7</v>
      </c>
      <c r="M200" s="10">
        <v>0.02</v>
      </c>
      <c r="N200" s="1" t="s">
        <v>207</v>
      </c>
      <c r="O200" s="17">
        <v>10</v>
      </c>
      <c r="P200" s="42">
        <v>4.0999999999999996</v>
      </c>
      <c r="Q200" s="7">
        <v>0</v>
      </c>
      <c r="R200" s="1" t="s">
        <v>207</v>
      </c>
      <c r="S200" s="15">
        <v>0</v>
      </c>
      <c r="T200" s="42">
        <v>5.0999999999999996</v>
      </c>
      <c r="U200" s="7">
        <v>0.09</v>
      </c>
      <c r="V200" s="7" t="s">
        <v>207</v>
      </c>
      <c r="W200" s="126">
        <v>0</v>
      </c>
      <c r="X200" s="13">
        <v>0</v>
      </c>
      <c r="Y200" s="1">
        <v>2</v>
      </c>
      <c r="Z200" s="17">
        <v>0</v>
      </c>
      <c r="AA200" s="13">
        <v>0</v>
      </c>
      <c r="AB200" s="1">
        <v>0</v>
      </c>
      <c r="AC200" s="1">
        <v>0</v>
      </c>
      <c r="AD200" s="17">
        <v>0</v>
      </c>
      <c r="AE200" s="42">
        <v>0</v>
      </c>
      <c r="AF200" s="7">
        <v>0</v>
      </c>
      <c r="AG200" s="7">
        <v>5.5</v>
      </c>
      <c r="AH200" s="7">
        <v>0.08</v>
      </c>
      <c r="AI200" s="48">
        <v>0.4</v>
      </c>
      <c r="AJ200" s="13">
        <v>0.14000000000000001</v>
      </c>
      <c r="AK200" s="120">
        <v>4.2</v>
      </c>
      <c r="AL200" s="13" t="s">
        <v>207</v>
      </c>
      <c r="AM200" s="1" t="s">
        <v>207</v>
      </c>
      <c r="AN200" s="1" t="s">
        <v>210</v>
      </c>
      <c r="AO200" s="1" t="s">
        <v>207</v>
      </c>
      <c r="AP200" s="17" t="s">
        <v>207</v>
      </c>
      <c r="AQ200" s="17"/>
      <c r="AR200" s="17"/>
      <c r="AS200" s="120"/>
      <c r="AT200" s="120"/>
      <c r="AY200" s="1"/>
    </row>
    <row r="201" spans="1:51">
      <c r="A201" s="1" t="s">
        <v>79</v>
      </c>
      <c r="B201" s="80">
        <v>40738</v>
      </c>
      <c r="C201" s="16" t="s">
        <v>208</v>
      </c>
      <c r="D201" s="106">
        <v>0.3</v>
      </c>
      <c r="E201" s="10">
        <v>0.1</v>
      </c>
      <c r="F201" s="1" t="s">
        <v>210</v>
      </c>
      <c r="G201" s="120">
        <v>20</v>
      </c>
      <c r="H201" s="106">
        <v>0.6</v>
      </c>
      <c r="I201" s="10">
        <v>0.1</v>
      </c>
      <c r="J201" s="1" t="s">
        <v>210</v>
      </c>
      <c r="K201" s="17">
        <v>10</v>
      </c>
      <c r="L201" s="106">
        <v>1.3</v>
      </c>
      <c r="M201" s="10">
        <v>0.19</v>
      </c>
      <c r="N201" s="1" t="s">
        <v>210</v>
      </c>
      <c r="O201" s="17">
        <v>10</v>
      </c>
      <c r="P201" s="42">
        <v>1.7</v>
      </c>
      <c r="Q201" s="7">
        <v>0</v>
      </c>
      <c r="R201" s="1" t="s">
        <v>228</v>
      </c>
      <c r="S201" s="15">
        <v>0</v>
      </c>
      <c r="T201" s="42">
        <v>2.38</v>
      </c>
      <c r="U201" s="7">
        <v>0.09</v>
      </c>
      <c r="V201" s="7" t="s">
        <v>202</v>
      </c>
      <c r="W201" s="126">
        <v>0</v>
      </c>
      <c r="X201" s="13">
        <v>0</v>
      </c>
      <c r="Y201" s="1">
        <v>2</v>
      </c>
      <c r="Z201" s="17">
        <v>2</v>
      </c>
      <c r="AA201" s="13">
        <v>0</v>
      </c>
      <c r="AB201" s="1">
        <v>0</v>
      </c>
      <c r="AC201" s="1">
        <v>0</v>
      </c>
      <c r="AD201" s="17">
        <v>0</v>
      </c>
      <c r="AE201" s="42">
        <v>0</v>
      </c>
      <c r="AF201" s="7">
        <v>0</v>
      </c>
      <c r="AG201" s="7">
        <v>2.2999999999999998</v>
      </c>
      <c r="AH201" s="7">
        <v>0.16</v>
      </c>
      <c r="AI201" s="48">
        <v>0.18</v>
      </c>
      <c r="AJ201" s="13">
        <v>0.09</v>
      </c>
      <c r="AK201" s="120">
        <v>2.61</v>
      </c>
      <c r="AL201" s="13" t="s">
        <v>207</v>
      </c>
      <c r="AM201" s="1" t="s">
        <v>210</v>
      </c>
      <c r="AN201" s="1" t="s">
        <v>207</v>
      </c>
      <c r="AO201" s="1" t="s">
        <v>207</v>
      </c>
      <c r="AP201" s="17" t="s">
        <v>210</v>
      </c>
      <c r="AQ201" s="17"/>
      <c r="AR201" s="17"/>
      <c r="AS201" s="120"/>
      <c r="AT201" s="120"/>
      <c r="AU201" s="1" t="s">
        <v>235</v>
      </c>
      <c r="AV201" s="24" t="s">
        <v>241</v>
      </c>
      <c r="AW201" s="86">
        <v>1</v>
      </c>
      <c r="AY201" s="1"/>
    </row>
    <row r="202" spans="1:51">
      <c r="A202" s="1" t="s">
        <v>79</v>
      </c>
      <c r="B202" s="80">
        <v>40738</v>
      </c>
      <c r="C202" s="16" t="s">
        <v>208</v>
      </c>
      <c r="AP202" s="17"/>
      <c r="AQ202" s="17"/>
      <c r="AR202" s="17"/>
      <c r="AS202" s="120"/>
      <c r="AT202" s="120"/>
      <c r="AU202" s="1" t="s">
        <v>235</v>
      </c>
      <c r="AV202" s="93">
        <v>40678</v>
      </c>
      <c r="AW202" s="86">
        <v>1</v>
      </c>
      <c r="AY202" s="1"/>
    </row>
    <row r="203" spans="1:51">
      <c r="A203" s="1" t="s">
        <v>79</v>
      </c>
      <c r="B203" s="80">
        <v>40738</v>
      </c>
      <c r="C203" s="16" t="s">
        <v>208</v>
      </c>
      <c r="AP203" s="17"/>
      <c r="AQ203" s="17"/>
      <c r="AR203" s="17"/>
      <c r="AS203" s="120"/>
      <c r="AT203" s="120"/>
      <c r="AU203" s="1" t="s">
        <v>314</v>
      </c>
      <c r="AV203" s="24" t="s">
        <v>241</v>
      </c>
      <c r="AW203" s="86">
        <v>2</v>
      </c>
      <c r="AY203" s="1"/>
    </row>
    <row r="204" spans="1:51">
      <c r="A204" s="1" t="s">
        <v>79</v>
      </c>
      <c r="B204" s="80">
        <v>40738</v>
      </c>
      <c r="C204" s="16" t="s">
        <v>208</v>
      </c>
      <c r="AP204" s="17"/>
      <c r="AQ204" s="17"/>
      <c r="AR204" s="17"/>
      <c r="AS204" s="120"/>
      <c r="AT204" s="120"/>
      <c r="AU204" s="1" t="s">
        <v>314</v>
      </c>
      <c r="AV204" s="93" t="s">
        <v>315</v>
      </c>
      <c r="AW204" s="86">
        <v>2</v>
      </c>
      <c r="AY204" s="1"/>
    </row>
    <row r="205" spans="1:51">
      <c r="A205" s="1" t="s">
        <v>79</v>
      </c>
      <c r="B205" s="80">
        <v>40738</v>
      </c>
      <c r="C205" s="16" t="s">
        <v>217</v>
      </c>
      <c r="D205" s="106">
        <v>0.4</v>
      </c>
      <c r="E205" s="10">
        <v>0.2</v>
      </c>
      <c r="F205" s="1" t="s">
        <v>210</v>
      </c>
      <c r="G205" s="120">
        <v>0</v>
      </c>
      <c r="H205" s="106">
        <v>0.8</v>
      </c>
      <c r="I205" s="10">
        <v>0.27</v>
      </c>
      <c r="J205" s="1" t="s">
        <v>210</v>
      </c>
      <c r="K205" s="17">
        <v>0</v>
      </c>
      <c r="L205" s="106">
        <v>1.2</v>
      </c>
      <c r="M205" s="10">
        <v>0.27</v>
      </c>
      <c r="N205" s="1" t="s">
        <v>210</v>
      </c>
      <c r="P205" s="42">
        <v>1.6</v>
      </c>
      <c r="Q205" s="7">
        <v>0.17</v>
      </c>
      <c r="R205" s="1" t="s">
        <v>199</v>
      </c>
      <c r="S205" s="15">
        <v>100</v>
      </c>
      <c r="T205" s="42">
        <v>2.2000000000000002</v>
      </c>
      <c r="U205" s="7">
        <v>0.12</v>
      </c>
      <c r="V205" s="7" t="s">
        <v>199</v>
      </c>
      <c r="W205" s="126">
        <v>100</v>
      </c>
      <c r="X205" s="13">
        <v>0</v>
      </c>
      <c r="Y205" s="1">
        <v>3</v>
      </c>
      <c r="Z205" s="17">
        <v>1</v>
      </c>
      <c r="AA205" s="13">
        <v>2</v>
      </c>
      <c r="AB205" s="1">
        <v>6</v>
      </c>
      <c r="AC205" s="1">
        <v>4</v>
      </c>
      <c r="AD205" s="17">
        <v>1</v>
      </c>
      <c r="AE205" s="42">
        <v>0</v>
      </c>
      <c r="AF205" s="7">
        <v>0</v>
      </c>
      <c r="AG205" s="7">
        <v>2.4</v>
      </c>
      <c r="AH205" s="7">
        <v>0.16</v>
      </c>
      <c r="AI205" s="48">
        <v>0.17</v>
      </c>
      <c r="AJ205" s="13">
        <v>0.18</v>
      </c>
      <c r="AK205" s="120">
        <v>2.96</v>
      </c>
      <c r="AL205" s="13" t="s">
        <v>207</v>
      </c>
      <c r="AM205" s="1" t="s">
        <v>207</v>
      </c>
      <c r="AN205" s="1" t="s">
        <v>207</v>
      </c>
      <c r="AO205" s="1" t="s">
        <v>207</v>
      </c>
      <c r="AP205" s="17" t="s">
        <v>207</v>
      </c>
      <c r="AQ205" s="17"/>
      <c r="AR205" s="17"/>
      <c r="AS205" s="120"/>
      <c r="AT205" s="120"/>
      <c r="AY205" s="1"/>
    </row>
    <row r="206" spans="1:51">
      <c r="A206" s="1" t="s">
        <v>79</v>
      </c>
      <c r="B206" s="80">
        <v>40738</v>
      </c>
      <c r="C206" s="16" t="s">
        <v>203</v>
      </c>
      <c r="D206" s="106">
        <v>0.4</v>
      </c>
      <c r="E206" s="10">
        <v>0.12</v>
      </c>
      <c r="F206" s="1" t="s">
        <v>199</v>
      </c>
      <c r="G206" s="120">
        <v>100</v>
      </c>
      <c r="H206" s="106">
        <v>0.8</v>
      </c>
      <c r="I206" s="10">
        <v>0.2</v>
      </c>
      <c r="J206" s="1" t="s">
        <v>199</v>
      </c>
      <c r="K206" s="17">
        <v>100</v>
      </c>
      <c r="L206" s="106">
        <v>1.2</v>
      </c>
      <c r="M206" s="10">
        <v>0.37</v>
      </c>
      <c r="N206" s="1" t="s">
        <v>210</v>
      </c>
      <c r="O206" s="17">
        <v>20</v>
      </c>
      <c r="P206" s="42">
        <v>1.8</v>
      </c>
      <c r="Q206" s="7">
        <v>0.28000000000000003</v>
      </c>
      <c r="R206" s="1" t="s">
        <v>316</v>
      </c>
      <c r="S206" s="15">
        <v>20</v>
      </c>
      <c r="T206" s="42">
        <v>2.4300000000000002</v>
      </c>
      <c r="U206" s="7">
        <v>0.21</v>
      </c>
      <c r="V206" s="7" t="s">
        <v>210</v>
      </c>
      <c r="W206" s="126">
        <v>30</v>
      </c>
      <c r="X206" s="13">
        <v>1</v>
      </c>
      <c r="Y206" s="1">
        <v>2</v>
      </c>
      <c r="Z206" s="17">
        <v>1</v>
      </c>
      <c r="AA206" s="13">
        <v>0</v>
      </c>
      <c r="AB206" s="1">
        <v>19</v>
      </c>
      <c r="AC206" s="1">
        <v>0</v>
      </c>
      <c r="AD206" s="17">
        <v>4</v>
      </c>
      <c r="AE206" s="42">
        <v>0</v>
      </c>
      <c r="AF206" s="7">
        <v>0</v>
      </c>
      <c r="AG206" s="7">
        <v>2.83</v>
      </c>
      <c r="AH206" s="7">
        <v>0.08</v>
      </c>
      <c r="AI206" s="48">
        <v>0.46</v>
      </c>
      <c r="AK206" s="120">
        <v>4.18</v>
      </c>
      <c r="AL206" s="13" t="s">
        <v>210</v>
      </c>
      <c r="AM206" s="1" t="s">
        <v>225</v>
      </c>
      <c r="AN206" s="1" t="s">
        <v>210</v>
      </c>
      <c r="AO206" s="1" t="s">
        <v>207</v>
      </c>
      <c r="AP206" s="17"/>
      <c r="AQ206" s="17"/>
      <c r="AR206" s="17"/>
      <c r="AS206" s="120"/>
      <c r="AT206" s="120"/>
      <c r="AY206" s="1"/>
    </row>
    <row r="207" spans="1:51">
      <c r="A207" s="1" t="s">
        <v>79</v>
      </c>
      <c r="B207" s="80">
        <v>40738</v>
      </c>
      <c r="C207" s="16" t="s">
        <v>200</v>
      </c>
      <c r="D207" s="106">
        <v>0.4</v>
      </c>
      <c r="E207" s="10">
        <v>0.09</v>
      </c>
      <c r="F207" s="1" t="s">
        <v>207</v>
      </c>
      <c r="G207" s="120">
        <v>40</v>
      </c>
      <c r="H207" s="106">
        <v>1.02</v>
      </c>
      <c r="I207" s="10">
        <v>0.09</v>
      </c>
      <c r="J207" s="1" t="s">
        <v>225</v>
      </c>
      <c r="K207" s="17">
        <v>10</v>
      </c>
      <c r="L207" s="106">
        <v>1.42</v>
      </c>
      <c r="M207" s="10">
        <v>0.09</v>
      </c>
      <c r="N207" s="1" t="s">
        <v>225</v>
      </c>
      <c r="O207" s="17">
        <v>10</v>
      </c>
      <c r="P207" s="42">
        <v>2.0699999999999998</v>
      </c>
      <c r="Q207" s="7">
        <v>0.09</v>
      </c>
      <c r="R207" s="1" t="s">
        <v>207</v>
      </c>
      <c r="S207" s="15">
        <v>10</v>
      </c>
      <c r="T207" s="42">
        <v>2.37</v>
      </c>
      <c r="U207" s="7">
        <v>0.06</v>
      </c>
      <c r="V207" s="7" t="s">
        <v>207</v>
      </c>
      <c r="W207" s="126">
        <v>30</v>
      </c>
      <c r="X207" s="13">
        <v>0</v>
      </c>
      <c r="Y207" s="1">
        <v>3</v>
      </c>
      <c r="Z207" s="17">
        <v>1</v>
      </c>
      <c r="AA207" s="13">
        <v>2</v>
      </c>
      <c r="AB207" s="1">
        <v>13</v>
      </c>
      <c r="AC207" s="1">
        <v>0</v>
      </c>
      <c r="AD207" s="17">
        <v>1</v>
      </c>
      <c r="AE207" s="42">
        <v>0</v>
      </c>
      <c r="AF207" s="7">
        <v>0</v>
      </c>
      <c r="AG207" s="7">
        <v>2.77</v>
      </c>
      <c r="AH207" s="7">
        <v>0.1</v>
      </c>
      <c r="AI207" s="48">
        <v>0.17</v>
      </c>
      <c r="AJ207" s="13">
        <v>0.19</v>
      </c>
      <c r="AK207" s="120">
        <v>2.93</v>
      </c>
      <c r="AL207" s="13" t="s">
        <v>207</v>
      </c>
      <c r="AM207" s="1" t="s">
        <v>210</v>
      </c>
      <c r="AN207" s="1" t="s">
        <v>210</v>
      </c>
      <c r="AO207" s="1" t="s">
        <v>210</v>
      </c>
      <c r="AP207" s="17" t="s">
        <v>225</v>
      </c>
      <c r="AQ207" s="17"/>
      <c r="AR207" s="17"/>
      <c r="AS207" s="120"/>
      <c r="AT207" s="120"/>
      <c r="AY207" s="1"/>
    </row>
    <row r="208" spans="1:51">
      <c r="A208" s="1" t="s">
        <v>79</v>
      </c>
      <c r="B208" s="80">
        <v>40738</v>
      </c>
      <c r="C208" s="16" t="s">
        <v>198</v>
      </c>
      <c r="D208" s="106">
        <v>0.2</v>
      </c>
      <c r="E208" s="10">
        <v>0</v>
      </c>
      <c r="F208" s="1" t="s">
        <v>225</v>
      </c>
      <c r="G208" s="120">
        <v>10</v>
      </c>
      <c r="H208" s="106">
        <v>0.7</v>
      </c>
      <c r="I208" s="10">
        <v>0.01</v>
      </c>
      <c r="J208" s="1" t="s">
        <v>225</v>
      </c>
      <c r="K208" s="17">
        <v>10</v>
      </c>
      <c r="L208" s="106">
        <v>1.1000000000000001</v>
      </c>
      <c r="M208" s="10">
        <v>0.12</v>
      </c>
      <c r="N208" s="1" t="s">
        <v>207</v>
      </c>
      <c r="O208" s="17">
        <v>10</v>
      </c>
      <c r="P208" s="42">
        <v>1.4</v>
      </c>
      <c r="Q208" s="7">
        <v>0.09</v>
      </c>
      <c r="R208" s="1" t="s">
        <v>210</v>
      </c>
      <c r="S208" s="15">
        <v>10</v>
      </c>
      <c r="T208" s="42">
        <v>2</v>
      </c>
      <c r="U208" s="7">
        <v>0.09</v>
      </c>
      <c r="V208" s="7" t="s">
        <v>210</v>
      </c>
      <c r="W208" s="126">
        <v>20</v>
      </c>
      <c r="X208" s="13">
        <v>1</v>
      </c>
      <c r="Y208" s="1">
        <v>3</v>
      </c>
      <c r="Z208" s="17">
        <v>1</v>
      </c>
      <c r="AA208" s="13">
        <v>26</v>
      </c>
      <c r="AB208" s="1">
        <v>0</v>
      </c>
      <c r="AC208" s="1">
        <v>6</v>
      </c>
      <c r="AD208" s="17">
        <v>18</v>
      </c>
      <c r="AE208" s="42">
        <v>0</v>
      </c>
      <c r="AF208" s="7">
        <v>0</v>
      </c>
      <c r="AG208" s="7">
        <v>2.2999999999999998</v>
      </c>
      <c r="AH208" s="7">
        <v>7.0000000000000007E-2</v>
      </c>
      <c r="AI208" s="48">
        <v>0.43</v>
      </c>
      <c r="AP208" s="17"/>
      <c r="AQ208" s="17"/>
      <c r="AR208" s="17"/>
      <c r="AS208" s="120"/>
      <c r="AT208" s="120"/>
      <c r="AY208" s="1"/>
    </row>
    <row r="209" spans="42:51">
      <c r="AP209" s="17"/>
      <c r="AQ209" s="17"/>
      <c r="AR209" s="17"/>
      <c r="AS209" s="120"/>
      <c r="AT209" s="120"/>
      <c r="AY209" s="1"/>
    </row>
    <row r="210" spans="42:51">
      <c r="AP210" s="17"/>
      <c r="AQ210" s="17"/>
      <c r="AR210" s="17"/>
      <c r="AS210" s="120"/>
      <c r="AT210" s="120"/>
      <c r="AY210" s="1"/>
    </row>
    <row r="211" spans="42:51">
      <c r="AP211" s="17"/>
      <c r="AQ211" s="17"/>
      <c r="AR211" s="17"/>
      <c r="AS211" s="120"/>
      <c r="AT211" s="120"/>
      <c r="AY211" s="1"/>
    </row>
    <row r="212" spans="42:51">
      <c r="AP212" s="17"/>
      <c r="AQ212" s="17"/>
      <c r="AR212" s="17"/>
      <c r="AS212" s="120"/>
      <c r="AT212" s="120"/>
      <c r="AY212" s="1"/>
    </row>
    <row r="213" spans="42:51">
      <c r="AP213" s="17"/>
      <c r="AQ213" s="17"/>
      <c r="AR213" s="17"/>
      <c r="AS213" s="120"/>
      <c r="AT213" s="120"/>
      <c r="AY213" s="1"/>
    </row>
    <row r="214" spans="42:51">
      <c r="AP214" s="17"/>
      <c r="AQ214" s="17"/>
      <c r="AR214" s="17"/>
      <c r="AS214" s="120"/>
      <c r="AT214" s="120"/>
      <c r="AY214" s="1"/>
    </row>
    <row r="215" spans="42:51">
      <c r="AP215" s="17"/>
      <c r="AQ215" s="17"/>
      <c r="AR215" s="17"/>
      <c r="AS215" s="120"/>
      <c r="AT215" s="120"/>
      <c r="AY215" s="1"/>
    </row>
    <row r="216" spans="42:51">
      <c r="AP216" s="17"/>
      <c r="AQ216" s="17"/>
      <c r="AR216" s="17"/>
      <c r="AS216" s="120"/>
      <c r="AT216" s="120"/>
      <c r="AY216" s="1"/>
    </row>
    <row r="217" spans="42:51">
      <c r="AP217" s="17"/>
      <c r="AQ217" s="17"/>
      <c r="AR217" s="17"/>
      <c r="AS217" s="120"/>
      <c r="AT217" s="120"/>
      <c r="AY217" s="1"/>
    </row>
    <row r="218" spans="42:51">
      <c r="AP218" s="17"/>
      <c r="AQ218" s="17"/>
      <c r="AR218" s="17"/>
      <c r="AS218" s="120"/>
      <c r="AT218" s="120"/>
      <c r="AY218" s="1"/>
    </row>
    <row r="219" spans="42:51">
      <c r="AP219" s="17"/>
      <c r="AQ219" s="17"/>
      <c r="AR219" s="17"/>
      <c r="AS219" s="120"/>
      <c r="AT219" s="120"/>
      <c r="AY219" s="1"/>
    </row>
    <row r="220" spans="42:51">
      <c r="AP220" s="17"/>
      <c r="AQ220" s="17"/>
      <c r="AR220" s="17"/>
      <c r="AS220" s="120"/>
      <c r="AT220" s="120"/>
      <c r="AY220" s="1"/>
    </row>
    <row r="221" spans="42:51">
      <c r="AP221" s="17"/>
      <c r="AQ221" s="17"/>
      <c r="AR221" s="17"/>
      <c r="AS221" s="120"/>
      <c r="AT221" s="120"/>
      <c r="AY221" s="1"/>
    </row>
    <row r="222" spans="42:51">
      <c r="AP222" s="17"/>
      <c r="AQ222" s="17"/>
      <c r="AR222" s="17"/>
      <c r="AS222" s="120"/>
      <c r="AT222" s="120"/>
      <c r="AY222" s="1"/>
    </row>
    <row r="223" spans="42:51">
      <c r="AP223" s="17"/>
      <c r="AQ223" s="17"/>
      <c r="AR223" s="17"/>
      <c r="AS223" s="120"/>
      <c r="AT223" s="120"/>
      <c r="AY223" s="1"/>
    </row>
    <row r="224" spans="42:51">
      <c r="AP224" s="17"/>
      <c r="AQ224" s="17"/>
      <c r="AR224" s="17"/>
      <c r="AS224" s="120"/>
      <c r="AT224" s="120"/>
      <c r="AY224" s="1"/>
    </row>
    <row r="225" spans="42:51">
      <c r="AP225" s="17"/>
      <c r="AQ225" s="17"/>
      <c r="AR225" s="17"/>
      <c r="AS225" s="120"/>
      <c r="AT225" s="120"/>
      <c r="AY225" s="1"/>
    </row>
    <row r="226" spans="42:51">
      <c r="AP226" s="17"/>
      <c r="AQ226" s="17"/>
      <c r="AR226" s="17"/>
      <c r="AS226" s="120"/>
      <c r="AT226" s="120"/>
      <c r="AY226" s="1"/>
    </row>
    <row r="227" spans="42:51">
      <c r="AP227" s="17"/>
      <c r="AQ227" s="17"/>
      <c r="AR227" s="17"/>
      <c r="AS227" s="120"/>
      <c r="AT227" s="120"/>
      <c r="AY227" s="1"/>
    </row>
    <row r="228" spans="42:51">
      <c r="AP228" s="17"/>
      <c r="AQ228" s="17"/>
      <c r="AR228" s="17"/>
      <c r="AS228" s="120"/>
      <c r="AT228" s="120"/>
      <c r="AY228" s="1"/>
    </row>
    <row r="229" spans="42:51">
      <c r="AP229" s="17"/>
      <c r="AQ229" s="17"/>
      <c r="AR229" s="17"/>
      <c r="AS229" s="120"/>
      <c r="AT229" s="120"/>
      <c r="AY229" s="1"/>
    </row>
    <row r="230" spans="42:51">
      <c r="AP230" s="17"/>
      <c r="AQ230" s="17"/>
      <c r="AR230" s="17"/>
      <c r="AS230" s="120"/>
      <c r="AT230" s="120"/>
      <c r="AY230" s="1"/>
    </row>
    <row r="231" spans="42:51">
      <c r="AP231" s="17"/>
      <c r="AQ231" s="17"/>
      <c r="AR231" s="17"/>
      <c r="AS231" s="120"/>
      <c r="AT231" s="120"/>
      <c r="AY231" s="1"/>
    </row>
    <row r="232" spans="42:51">
      <c r="AP232" s="17"/>
      <c r="AQ232" s="17"/>
      <c r="AR232" s="17"/>
      <c r="AS232" s="120"/>
      <c r="AT232" s="120"/>
      <c r="AY232" s="1"/>
    </row>
    <row r="233" spans="42:51">
      <c r="AP233" s="17"/>
      <c r="AQ233" s="17"/>
      <c r="AR233" s="17"/>
      <c r="AS233" s="120"/>
      <c r="AT233" s="120"/>
      <c r="AY233" s="1"/>
    </row>
    <row r="234" spans="42:51">
      <c r="AP234" s="17"/>
      <c r="AQ234" s="17"/>
      <c r="AR234" s="17"/>
      <c r="AS234" s="120"/>
      <c r="AT234" s="120"/>
      <c r="AY234" s="1"/>
    </row>
    <row r="235" spans="42:51">
      <c r="AP235" s="17"/>
      <c r="AQ235" s="17"/>
      <c r="AR235" s="17"/>
      <c r="AS235" s="120"/>
      <c r="AT235" s="120"/>
      <c r="AY235" s="1"/>
    </row>
    <row r="236" spans="42:51">
      <c r="AP236" s="17"/>
      <c r="AQ236" s="17"/>
      <c r="AR236" s="17"/>
      <c r="AS236" s="120"/>
      <c r="AT236" s="120"/>
      <c r="AY236" s="1"/>
    </row>
    <row r="237" spans="42:51">
      <c r="AP237" s="17"/>
      <c r="AQ237" s="17"/>
      <c r="AR237" s="17"/>
      <c r="AS237" s="120"/>
      <c r="AT237" s="120"/>
      <c r="AY237" s="1"/>
    </row>
    <row r="238" spans="42:51">
      <c r="AP238" s="17"/>
      <c r="AQ238" s="17"/>
      <c r="AR238" s="17"/>
      <c r="AS238" s="120"/>
      <c r="AT238" s="120"/>
      <c r="AY238" s="1"/>
    </row>
    <row r="239" spans="42:51">
      <c r="AP239" s="17"/>
      <c r="AQ239" s="17"/>
      <c r="AR239" s="17"/>
      <c r="AS239" s="120"/>
      <c r="AT239" s="120"/>
      <c r="AY239" s="1"/>
    </row>
    <row r="240" spans="42:51">
      <c r="AP240" s="17"/>
      <c r="AQ240" s="17"/>
      <c r="AR240" s="17"/>
      <c r="AS240" s="120"/>
      <c r="AT240" s="120"/>
      <c r="AY240" s="1"/>
    </row>
    <row r="241" spans="42:51">
      <c r="AP241" s="17"/>
      <c r="AQ241" s="17"/>
      <c r="AR241" s="17"/>
      <c r="AS241" s="120"/>
      <c r="AT241" s="120"/>
      <c r="AY241" s="1"/>
    </row>
    <row r="242" spans="42:51">
      <c r="AP242" s="17"/>
      <c r="AQ242" s="17"/>
      <c r="AR242" s="17"/>
      <c r="AS242" s="120"/>
      <c r="AT242" s="120"/>
      <c r="AY242" s="1"/>
    </row>
    <row r="243" spans="42:51">
      <c r="AP243" s="17"/>
      <c r="AQ243" s="17"/>
      <c r="AR243" s="17"/>
      <c r="AS243" s="120"/>
      <c r="AT243" s="120"/>
      <c r="AY243" s="1"/>
    </row>
    <row r="244" spans="42:51">
      <c r="AP244" s="17"/>
      <c r="AQ244" s="17"/>
      <c r="AR244" s="17"/>
      <c r="AS244" s="120"/>
      <c r="AT244" s="120"/>
      <c r="AY244" s="1"/>
    </row>
    <row r="245" spans="42:51">
      <c r="AP245" s="17"/>
      <c r="AQ245" s="17"/>
      <c r="AR245" s="17"/>
      <c r="AS245" s="120"/>
      <c r="AT245" s="120"/>
      <c r="AY245" s="1"/>
    </row>
    <row r="246" spans="42:51">
      <c r="AP246" s="17"/>
      <c r="AQ246" s="17"/>
      <c r="AR246" s="17"/>
      <c r="AS246" s="120"/>
      <c r="AT246" s="120"/>
      <c r="AY246" s="1"/>
    </row>
    <row r="247" spans="42:51">
      <c r="AP247" s="17"/>
      <c r="AQ247" s="17"/>
      <c r="AR247" s="17"/>
      <c r="AS247" s="120"/>
      <c r="AT247" s="120"/>
      <c r="AY247" s="1"/>
    </row>
    <row r="248" spans="42:51">
      <c r="AP248" s="17"/>
      <c r="AQ248" s="17"/>
      <c r="AR248" s="17"/>
      <c r="AS248" s="120"/>
      <c r="AT248" s="120"/>
      <c r="AY248" s="1"/>
    </row>
    <row r="249" spans="42:51">
      <c r="AP249" s="17"/>
      <c r="AQ249" s="17"/>
      <c r="AR249" s="17"/>
      <c r="AS249" s="120"/>
      <c r="AT249" s="120"/>
      <c r="AY249" s="1"/>
    </row>
    <row r="250" spans="42:51">
      <c r="AP250" s="17"/>
      <c r="AQ250" s="17"/>
      <c r="AR250" s="17"/>
      <c r="AS250" s="120"/>
      <c r="AT250" s="120"/>
      <c r="AY250" s="1"/>
    </row>
    <row r="251" spans="42:51">
      <c r="AP251" s="17"/>
      <c r="AQ251" s="17"/>
      <c r="AR251" s="17"/>
      <c r="AS251" s="120"/>
      <c r="AT251" s="120"/>
      <c r="AY251" s="1"/>
    </row>
    <row r="252" spans="42:51">
      <c r="AP252" s="17"/>
      <c r="AQ252" s="17"/>
      <c r="AR252" s="17"/>
      <c r="AS252" s="120"/>
      <c r="AT252" s="120"/>
      <c r="AY252" s="1"/>
    </row>
    <row r="253" spans="42:51">
      <c r="AP253" s="17"/>
      <c r="AQ253" s="17"/>
      <c r="AR253" s="17"/>
      <c r="AS253" s="120"/>
      <c r="AT253" s="120"/>
      <c r="AY253" s="1"/>
    </row>
    <row r="254" spans="42:51">
      <c r="AP254" s="17"/>
      <c r="AQ254" s="17"/>
      <c r="AR254" s="17"/>
      <c r="AS254" s="120"/>
      <c r="AT254" s="120"/>
      <c r="AY254" s="1"/>
    </row>
    <row r="255" spans="42:51">
      <c r="AP255" s="17"/>
      <c r="AQ255" s="17"/>
      <c r="AR255" s="17"/>
      <c r="AS255" s="120"/>
      <c r="AT255" s="120"/>
      <c r="AY255" s="1"/>
    </row>
    <row r="256" spans="42:51">
      <c r="AP256" s="17"/>
      <c r="AQ256" s="17"/>
      <c r="AR256" s="17"/>
      <c r="AS256" s="120"/>
      <c r="AT256" s="120"/>
      <c r="AY256" s="1"/>
    </row>
    <row r="257" spans="42:51">
      <c r="AP257" s="17"/>
      <c r="AQ257" s="17"/>
      <c r="AR257" s="17"/>
      <c r="AS257" s="120"/>
      <c r="AT257" s="120"/>
      <c r="AY257" s="1"/>
    </row>
    <row r="258" spans="42:51">
      <c r="AP258" s="17"/>
      <c r="AQ258" s="17"/>
      <c r="AR258" s="17"/>
      <c r="AS258" s="120"/>
      <c r="AT258" s="120"/>
      <c r="AY258" s="1"/>
    </row>
    <row r="259" spans="42:51">
      <c r="AP259" s="17"/>
      <c r="AQ259" s="17"/>
      <c r="AR259" s="17"/>
      <c r="AS259" s="120"/>
      <c r="AT259" s="120"/>
      <c r="AY259" s="1"/>
    </row>
    <row r="260" spans="42:51">
      <c r="AP260" s="17"/>
      <c r="AQ260" s="17"/>
      <c r="AR260" s="17"/>
      <c r="AS260" s="120"/>
      <c r="AT260" s="120"/>
      <c r="AY260" s="1"/>
    </row>
    <row r="261" spans="42:51">
      <c r="AP261" s="17"/>
      <c r="AQ261" s="17"/>
      <c r="AR261" s="17"/>
      <c r="AS261" s="120"/>
      <c r="AT261" s="120"/>
      <c r="AY261" s="1"/>
    </row>
    <row r="262" spans="42:51">
      <c r="AP262" s="17"/>
      <c r="AQ262" s="17"/>
      <c r="AR262" s="17"/>
      <c r="AS262" s="120"/>
      <c r="AT262" s="120"/>
      <c r="AY262" s="1"/>
    </row>
    <row r="263" spans="42:51">
      <c r="AP263" s="17"/>
      <c r="AQ263" s="17"/>
      <c r="AR263" s="17"/>
      <c r="AS263" s="120"/>
      <c r="AT263" s="120"/>
      <c r="AY263" s="1"/>
    </row>
    <row r="264" spans="42:51">
      <c r="AP264" s="17"/>
      <c r="AQ264" s="17"/>
      <c r="AR264" s="17"/>
      <c r="AS264" s="120"/>
      <c r="AT264" s="120"/>
      <c r="AY264" s="1"/>
    </row>
    <row r="265" spans="42:51">
      <c r="AP265" s="17"/>
      <c r="AQ265" s="17"/>
      <c r="AR265" s="17"/>
      <c r="AS265" s="120"/>
      <c r="AT265" s="120"/>
      <c r="AY265" s="1"/>
    </row>
    <row r="266" spans="42:51">
      <c r="AP266" s="17"/>
      <c r="AQ266" s="17"/>
      <c r="AR266" s="17"/>
      <c r="AS266" s="120"/>
      <c r="AT266" s="120"/>
      <c r="AY266" s="1"/>
    </row>
    <row r="267" spans="42:51">
      <c r="AP267" s="17"/>
      <c r="AQ267" s="17"/>
      <c r="AR267" s="17"/>
      <c r="AS267" s="120"/>
      <c r="AT267" s="120"/>
      <c r="AY267" s="1"/>
    </row>
    <row r="268" spans="42:51">
      <c r="AP268" s="17"/>
      <c r="AQ268" s="17"/>
      <c r="AR268" s="17"/>
      <c r="AS268" s="120"/>
      <c r="AT268" s="120"/>
      <c r="AY268" s="1"/>
    </row>
    <row r="269" spans="42:51">
      <c r="AP269" s="17"/>
      <c r="AQ269" s="17"/>
      <c r="AR269" s="17"/>
      <c r="AS269" s="120"/>
      <c r="AT269" s="120"/>
      <c r="AY269" s="1"/>
    </row>
    <row r="270" spans="42:51">
      <c r="AP270" s="17"/>
      <c r="AQ270" s="17"/>
      <c r="AR270" s="17"/>
      <c r="AS270" s="120"/>
      <c r="AT270" s="120"/>
      <c r="AY270" s="1"/>
    </row>
    <row r="271" spans="42:51">
      <c r="AP271" s="17"/>
      <c r="AQ271" s="17"/>
      <c r="AR271" s="17"/>
      <c r="AS271" s="120"/>
      <c r="AT271" s="120"/>
      <c r="AY271" s="1"/>
    </row>
    <row r="272" spans="42:51">
      <c r="AP272" s="17"/>
      <c r="AQ272" s="17"/>
      <c r="AR272" s="17"/>
      <c r="AS272" s="120"/>
      <c r="AT272" s="120"/>
      <c r="AY272" s="1"/>
    </row>
    <row r="273" spans="42:51">
      <c r="AP273" s="17"/>
      <c r="AQ273" s="17"/>
      <c r="AR273" s="17"/>
      <c r="AS273" s="120"/>
      <c r="AT273" s="120"/>
      <c r="AY273" s="1"/>
    </row>
    <row r="274" spans="42:51">
      <c r="AP274" s="17"/>
      <c r="AQ274" s="17"/>
      <c r="AR274" s="17"/>
      <c r="AS274" s="120"/>
      <c r="AT274" s="120"/>
      <c r="AY274" s="1"/>
    </row>
    <row r="275" spans="42:51">
      <c r="AP275" s="17"/>
      <c r="AQ275" s="17"/>
      <c r="AR275" s="17"/>
      <c r="AS275" s="120"/>
      <c r="AT275" s="120"/>
      <c r="AY275" s="1"/>
    </row>
    <row r="276" spans="42:51">
      <c r="AP276" s="17"/>
      <c r="AQ276" s="17"/>
      <c r="AR276" s="17"/>
      <c r="AS276" s="120"/>
      <c r="AT276" s="120"/>
      <c r="AY276" s="1"/>
    </row>
    <row r="277" spans="42:51">
      <c r="AP277" s="17"/>
      <c r="AQ277" s="17"/>
      <c r="AR277" s="17"/>
      <c r="AS277" s="120"/>
      <c r="AT277" s="120"/>
      <c r="AY277" s="1"/>
    </row>
    <row r="278" spans="42:51">
      <c r="AP278" s="17"/>
      <c r="AQ278" s="17"/>
      <c r="AR278" s="17"/>
      <c r="AS278" s="120"/>
      <c r="AT278" s="120"/>
      <c r="AY278" s="1"/>
    </row>
    <row r="279" spans="42:51">
      <c r="AP279" s="17"/>
      <c r="AQ279" s="17"/>
      <c r="AR279" s="17"/>
      <c r="AS279" s="120"/>
      <c r="AT279" s="120"/>
      <c r="AY279" s="1"/>
    </row>
    <row r="280" spans="42:51">
      <c r="AP280" s="17"/>
      <c r="AQ280" s="17"/>
      <c r="AR280" s="17"/>
      <c r="AS280" s="120"/>
      <c r="AT280" s="120"/>
      <c r="AY280" s="1"/>
    </row>
    <row r="281" spans="42:51">
      <c r="AP281" s="17"/>
      <c r="AQ281" s="17"/>
      <c r="AR281" s="17"/>
      <c r="AS281" s="120"/>
      <c r="AT281" s="120"/>
      <c r="AY281" s="1"/>
    </row>
    <row r="282" spans="42:51">
      <c r="AP282" s="17"/>
      <c r="AQ282" s="17"/>
      <c r="AR282" s="17"/>
      <c r="AS282" s="120"/>
      <c r="AT282" s="120"/>
      <c r="AY282" s="1"/>
    </row>
    <row r="283" spans="42:51">
      <c r="AP283" s="17"/>
      <c r="AQ283" s="17"/>
      <c r="AR283" s="17"/>
      <c r="AS283" s="120"/>
      <c r="AT283" s="120"/>
      <c r="AY283" s="1"/>
    </row>
    <row r="284" spans="42:51">
      <c r="AP284" s="17"/>
      <c r="AQ284" s="17"/>
      <c r="AR284" s="17"/>
      <c r="AS284" s="120"/>
      <c r="AT284" s="120"/>
      <c r="AY284" s="1"/>
    </row>
    <row r="285" spans="42:51">
      <c r="AP285" s="17"/>
      <c r="AQ285" s="17"/>
      <c r="AR285" s="17"/>
      <c r="AS285" s="120"/>
      <c r="AT285" s="120"/>
      <c r="AY285" s="1"/>
    </row>
    <row r="286" spans="42:51">
      <c r="AP286" s="17"/>
      <c r="AQ286" s="17"/>
      <c r="AR286" s="17"/>
      <c r="AS286" s="120"/>
      <c r="AT286" s="120"/>
      <c r="AY286" s="1"/>
    </row>
    <row r="287" spans="42:51">
      <c r="AP287" s="17"/>
      <c r="AQ287" s="17"/>
      <c r="AR287" s="17"/>
      <c r="AS287" s="120"/>
      <c r="AT287" s="120"/>
      <c r="AY287" s="1"/>
    </row>
    <row r="288" spans="42:51">
      <c r="AP288" s="17"/>
      <c r="AQ288" s="17"/>
      <c r="AR288" s="17"/>
      <c r="AS288" s="120"/>
      <c r="AT288" s="120"/>
      <c r="AY288" s="1"/>
    </row>
    <row r="289" spans="42:51">
      <c r="AP289" s="17"/>
      <c r="AQ289" s="17"/>
      <c r="AR289" s="17"/>
      <c r="AS289" s="120"/>
      <c r="AT289" s="120"/>
      <c r="AY289" s="1"/>
    </row>
    <row r="290" spans="42:51">
      <c r="AP290" s="17"/>
      <c r="AQ290" s="17"/>
      <c r="AR290" s="17"/>
      <c r="AS290" s="120"/>
      <c r="AT290" s="120"/>
      <c r="AY290" s="1"/>
    </row>
    <row r="291" spans="42:51">
      <c r="AP291" s="17"/>
      <c r="AQ291" s="17"/>
      <c r="AR291" s="17"/>
      <c r="AS291" s="120"/>
      <c r="AT291" s="120"/>
      <c r="AY291" s="1"/>
    </row>
    <row r="292" spans="42:51">
      <c r="AP292" s="17"/>
      <c r="AQ292" s="17"/>
      <c r="AR292" s="17"/>
      <c r="AS292" s="120"/>
      <c r="AT292" s="120"/>
      <c r="AY292" s="1"/>
    </row>
    <row r="293" spans="42:51">
      <c r="AP293" s="17"/>
      <c r="AQ293" s="17"/>
      <c r="AR293" s="17"/>
      <c r="AS293" s="120"/>
      <c r="AT293" s="120"/>
      <c r="AY293" s="1"/>
    </row>
    <row r="294" spans="42:51">
      <c r="AP294" s="17"/>
      <c r="AQ294" s="17"/>
      <c r="AR294" s="17"/>
      <c r="AS294" s="120"/>
      <c r="AT294" s="120"/>
      <c r="AY294" s="1"/>
    </row>
    <row r="295" spans="42:51">
      <c r="AP295" s="17"/>
      <c r="AQ295" s="17"/>
      <c r="AR295" s="17"/>
      <c r="AS295" s="120"/>
      <c r="AT295" s="120"/>
      <c r="AY295" s="1"/>
    </row>
    <row r="296" spans="42:51">
      <c r="AP296" s="17"/>
      <c r="AQ296" s="17"/>
      <c r="AR296" s="17"/>
      <c r="AS296" s="120"/>
      <c r="AT296" s="120"/>
      <c r="AY296" s="1"/>
    </row>
    <row r="297" spans="42:51">
      <c r="AP297" s="17"/>
      <c r="AQ297" s="17"/>
      <c r="AR297" s="17"/>
      <c r="AS297" s="120"/>
      <c r="AT297" s="120"/>
      <c r="AY297" s="1"/>
    </row>
    <row r="298" spans="42:51">
      <c r="AP298" s="17"/>
      <c r="AQ298" s="17"/>
      <c r="AR298" s="17"/>
      <c r="AS298" s="120"/>
      <c r="AT298" s="120"/>
      <c r="AY298" s="1"/>
    </row>
    <row r="299" spans="42:51">
      <c r="AP299" s="17"/>
      <c r="AQ299" s="17"/>
      <c r="AR299" s="17"/>
      <c r="AS299" s="120"/>
      <c r="AT299" s="120"/>
      <c r="AY299" s="1"/>
    </row>
    <row r="300" spans="42:51">
      <c r="AP300" s="17"/>
      <c r="AQ300" s="17"/>
      <c r="AR300" s="17"/>
      <c r="AS300" s="120"/>
      <c r="AT300" s="120"/>
      <c r="AY300" s="1"/>
    </row>
    <row r="301" spans="42:51">
      <c r="AP301" s="17"/>
      <c r="AQ301" s="17"/>
      <c r="AR301" s="17"/>
      <c r="AS301" s="120"/>
      <c r="AT301" s="120"/>
      <c r="AY301" s="1"/>
    </row>
    <row r="302" spans="42:51">
      <c r="AP302" s="17"/>
      <c r="AQ302" s="17"/>
      <c r="AR302" s="17"/>
      <c r="AS302" s="120"/>
      <c r="AT302" s="120"/>
      <c r="AY302" s="1"/>
    </row>
    <row r="303" spans="42:51">
      <c r="AP303" s="17"/>
      <c r="AQ303" s="17"/>
      <c r="AR303" s="17"/>
      <c r="AS303" s="120"/>
      <c r="AT303" s="120"/>
      <c r="AY303" s="1"/>
    </row>
    <row r="304" spans="42:51">
      <c r="AP304" s="17"/>
      <c r="AQ304" s="17"/>
      <c r="AR304" s="17"/>
      <c r="AS304" s="120"/>
      <c r="AT304" s="120"/>
      <c r="AY304" s="1"/>
    </row>
    <row r="305" spans="42:51">
      <c r="AP305" s="17"/>
      <c r="AQ305" s="17"/>
      <c r="AR305" s="17"/>
      <c r="AS305" s="120"/>
      <c r="AT305" s="120"/>
      <c r="AY305" s="1"/>
    </row>
    <row r="306" spans="42:51">
      <c r="AP306" s="17"/>
      <c r="AQ306" s="17"/>
      <c r="AR306" s="17"/>
      <c r="AS306" s="120"/>
      <c r="AT306" s="120"/>
      <c r="AY306" s="1"/>
    </row>
    <row r="307" spans="42:51">
      <c r="AP307" s="17"/>
      <c r="AQ307" s="17"/>
      <c r="AR307" s="17"/>
      <c r="AS307" s="120"/>
      <c r="AT307" s="120"/>
      <c r="AY307" s="1"/>
    </row>
    <row r="308" spans="42:51">
      <c r="AP308" s="17"/>
      <c r="AQ308" s="17"/>
      <c r="AR308" s="17"/>
      <c r="AS308" s="120"/>
      <c r="AT308" s="120"/>
      <c r="AY308" s="1"/>
    </row>
    <row r="309" spans="42:51">
      <c r="AP309" s="17"/>
      <c r="AQ309" s="17"/>
      <c r="AR309" s="17"/>
      <c r="AS309" s="120"/>
      <c r="AT309" s="120"/>
      <c r="AY309" s="1"/>
    </row>
    <row r="310" spans="42:51">
      <c r="AP310" s="17"/>
      <c r="AQ310" s="17"/>
      <c r="AR310" s="17"/>
      <c r="AS310" s="120"/>
      <c r="AT310" s="120"/>
      <c r="AY310" s="1"/>
    </row>
    <row r="311" spans="42:51">
      <c r="AP311" s="17"/>
      <c r="AQ311" s="17"/>
      <c r="AR311" s="17"/>
      <c r="AS311" s="120"/>
      <c r="AT311" s="120"/>
      <c r="AY311" s="1"/>
    </row>
    <row r="312" spans="42:51">
      <c r="AP312" s="17"/>
      <c r="AQ312" s="17"/>
      <c r="AR312" s="17"/>
      <c r="AS312" s="120"/>
      <c r="AT312" s="120"/>
      <c r="AY312" s="1"/>
    </row>
    <row r="313" spans="42:51">
      <c r="AP313" s="17"/>
      <c r="AQ313" s="17"/>
      <c r="AR313" s="17"/>
      <c r="AS313" s="120"/>
      <c r="AT313" s="120"/>
      <c r="AY313" s="1"/>
    </row>
    <row r="314" spans="42:51">
      <c r="AP314" s="17"/>
      <c r="AQ314" s="17"/>
      <c r="AR314" s="17"/>
      <c r="AS314" s="120"/>
      <c r="AT314" s="120"/>
      <c r="AY314" s="1"/>
    </row>
    <row r="315" spans="42:51">
      <c r="AP315" s="17"/>
      <c r="AQ315" s="17"/>
      <c r="AR315" s="17"/>
      <c r="AS315" s="120"/>
      <c r="AT315" s="120"/>
      <c r="AY315" s="1"/>
    </row>
    <row r="316" spans="42:51">
      <c r="AP316" s="17"/>
      <c r="AQ316" s="17"/>
      <c r="AR316" s="17"/>
      <c r="AS316" s="120"/>
      <c r="AT316" s="120"/>
      <c r="AY316" s="1"/>
    </row>
    <row r="317" spans="42:51">
      <c r="AP317" s="17"/>
      <c r="AQ317" s="17"/>
      <c r="AR317" s="17"/>
      <c r="AS317" s="120"/>
      <c r="AT317" s="120"/>
      <c r="AY317" s="1"/>
    </row>
    <row r="318" spans="42:51">
      <c r="AP318" s="17"/>
      <c r="AQ318" s="17"/>
      <c r="AR318" s="17"/>
      <c r="AS318" s="120"/>
      <c r="AT318" s="120"/>
      <c r="AY318" s="1"/>
    </row>
    <row r="319" spans="42:51">
      <c r="AP319" s="17"/>
      <c r="AQ319" s="17"/>
      <c r="AR319" s="17"/>
      <c r="AS319" s="120"/>
      <c r="AT319" s="120"/>
      <c r="AY319" s="1"/>
    </row>
    <row r="320" spans="42:51">
      <c r="AP320" s="17"/>
      <c r="AQ320" s="17"/>
      <c r="AR320" s="17"/>
      <c r="AS320" s="120"/>
      <c r="AT320" s="120"/>
      <c r="AY320" s="1"/>
    </row>
    <row r="321" spans="42:51">
      <c r="AP321" s="17"/>
      <c r="AQ321" s="17"/>
      <c r="AR321" s="17"/>
      <c r="AS321" s="120"/>
      <c r="AT321" s="120"/>
      <c r="AY321" s="1"/>
    </row>
    <row r="322" spans="42:51">
      <c r="AP322" s="17"/>
      <c r="AQ322" s="17"/>
      <c r="AR322" s="17"/>
      <c r="AS322" s="120"/>
      <c r="AT322" s="120"/>
      <c r="AY322" s="1"/>
    </row>
    <row r="323" spans="42:51">
      <c r="AP323" s="17"/>
      <c r="AQ323" s="17"/>
      <c r="AR323" s="17"/>
      <c r="AS323" s="120"/>
      <c r="AT323" s="120"/>
      <c r="AY323" s="1"/>
    </row>
    <row r="324" spans="42:51">
      <c r="AP324" s="17"/>
      <c r="AQ324" s="17"/>
      <c r="AR324" s="17"/>
      <c r="AS324" s="120"/>
      <c r="AT324" s="120"/>
      <c r="AY324" s="1"/>
    </row>
    <row r="325" spans="42:51">
      <c r="AP325" s="17"/>
      <c r="AQ325" s="17"/>
      <c r="AR325" s="17"/>
      <c r="AS325" s="120"/>
      <c r="AT325" s="120"/>
      <c r="AY325" s="1"/>
    </row>
    <row r="326" spans="42:51">
      <c r="AP326" s="17"/>
      <c r="AQ326" s="17"/>
      <c r="AR326" s="17"/>
      <c r="AS326" s="120"/>
      <c r="AT326" s="120"/>
      <c r="AY326" s="1"/>
    </row>
    <row r="327" spans="42:51">
      <c r="AP327" s="17"/>
      <c r="AQ327" s="17"/>
      <c r="AR327" s="17"/>
      <c r="AS327" s="120"/>
      <c r="AT327" s="120"/>
      <c r="AY327" s="1"/>
    </row>
    <row r="328" spans="42:51">
      <c r="AP328" s="17"/>
      <c r="AQ328" s="17"/>
      <c r="AR328" s="17"/>
      <c r="AS328" s="120"/>
      <c r="AT328" s="120"/>
      <c r="AY328" s="1"/>
    </row>
    <row r="329" spans="42:51">
      <c r="AP329" s="17"/>
      <c r="AQ329" s="17"/>
      <c r="AR329" s="17"/>
      <c r="AS329" s="120"/>
      <c r="AT329" s="120"/>
      <c r="AY329" s="1"/>
    </row>
    <row r="330" spans="42:51">
      <c r="AP330" s="17"/>
      <c r="AQ330" s="17"/>
      <c r="AR330" s="17"/>
      <c r="AS330" s="120"/>
      <c r="AT330" s="120"/>
      <c r="AY330" s="1"/>
    </row>
    <row r="331" spans="42:51">
      <c r="AP331" s="17"/>
      <c r="AQ331" s="17"/>
      <c r="AR331" s="17"/>
      <c r="AS331" s="120"/>
      <c r="AT331" s="120"/>
      <c r="AY331" s="1"/>
    </row>
    <row r="332" spans="42:51">
      <c r="AP332" s="17"/>
      <c r="AQ332" s="17"/>
      <c r="AR332" s="17"/>
      <c r="AS332" s="120"/>
      <c r="AT332" s="120"/>
      <c r="AY332" s="1"/>
    </row>
    <row r="333" spans="42:51">
      <c r="AP333" s="17"/>
      <c r="AQ333" s="17"/>
      <c r="AR333" s="17"/>
      <c r="AS333" s="120"/>
      <c r="AT333" s="120"/>
      <c r="AY333" s="1"/>
    </row>
    <row r="334" spans="42:51">
      <c r="AP334" s="17"/>
      <c r="AQ334" s="17"/>
      <c r="AR334" s="17"/>
      <c r="AS334" s="120"/>
      <c r="AT334" s="120"/>
      <c r="AY334" s="1"/>
    </row>
    <row r="335" spans="42:51">
      <c r="AP335" s="17"/>
      <c r="AQ335" s="17"/>
      <c r="AR335" s="17"/>
      <c r="AS335" s="120"/>
      <c r="AT335" s="120"/>
      <c r="AY335" s="1"/>
    </row>
    <row r="336" spans="42:51">
      <c r="AP336" s="17"/>
      <c r="AQ336" s="17"/>
      <c r="AR336" s="17"/>
      <c r="AS336" s="120"/>
      <c r="AT336" s="120"/>
      <c r="AY336" s="1"/>
    </row>
    <row r="337" spans="42:51">
      <c r="AP337" s="17"/>
      <c r="AQ337" s="17"/>
      <c r="AR337" s="17"/>
      <c r="AS337" s="120"/>
      <c r="AT337" s="120"/>
      <c r="AY337" s="1"/>
    </row>
    <row r="338" spans="42:51">
      <c r="AP338" s="17"/>
      <c r="AQ338" s="17"/>
      <c r="AR338" s="17"/>
      <c r="AS338" s="120"/>
      <c r="AT338" s="120"/>
      <c r="AY338" s="1"/>
    </row>
    <row r="339" spans="42:51">
      <c r="AP339" s="17"/>
      <c r="AQ339" s="17"/>
      <c r="AR339" s="17"/>
      <c r="AS339" s="120"/>
      <c r="AT339" s="120"/>
      <c r="AY339" s="1"/>
    </row>
    <row r="340" spans="42:51">
      <c r="AP340" s="17"/>
      <c r="AQ340" s="17"/>
      <c r="AR340" s="17"/>
      <c r="AS340" s="120"/>
      <c r="AT340" s="120"/>
      <c r="AY340" s="1"/>
    </row>
    <row r="341" spans="42:51">
      <c r="AP341" s="17"/>
      <c r="AQ341" s="17"/>
      <c r="AR341" s="17"/>
      <c r="AS341" s="120"/>
      <c r="AT341" s="120"/>
      <c r="AY341" s="1"/>
    </row>
    <row r="342" spans="42:51">
      <c r="AP342" s="17"/>
      <c r="AQ342" s="17"/>
      <c r="AR342" s="17"/>
      <c r="AS342" s="120"/>
      <c r="AT342" s="120"/>
      <c r="AY342" s="1"/>
    </row>
    <row r="343" spans="42:51">
      <c r="AP343" s="17"/>
      <c r="AQ343" s="17"/>
      <c r="AR343" s="17"/>
      <c r="AS343" s="120"/>
      <c r="AT343" s="120"/>
      <c r="AY343" s="1"/>
    </row>
    <row r="344" spans="42:51">
      <c r="AP344" s="17"/>
      <c r="AQ344" s="17"/>
      <c r="AR344" s="17"/>
      <c r="AS344" s="120"/>
      <c r="AT344" s="120"/>
      <c r="AY344" s="1"/>
    </row>
    <row r="345" spans="42:51">
      <c r="AP345" s="17"/>
      <c r="AQ345" s="17"/>
      <c r="AR345" s="17"/>
      <c r="AS345" s="120"/>
      <c r="AT345" s="120"/>
      <c r="AY345" s="1"/>
    </row>
    <row r="346" spans="42:51">
      <c r="AP346" s="17"/>
      <c r="AQ346" s="17"/>
      <c r="AR346" s="17"/>
      <c r="AS346" s="120"/>
      <c r="AT346" s="120"/>
      <c r="AY346" s="1"/>
    </row>
    <row r="347" spans="42:51">
      <c r="AP347" s="17"/>
      <c r="AQ347" s="17"/>
      <c r="AR347" s="17"/>
      <c r="AS347" s="120"/>
      <c r="AT347" s="120"/>
      <c r="AY347" s="1"/>
    </row>
    <row r="348" spans="42:51">
      <c r="AP348" s="17"/>
      <c r="AQ348" s="17"/>
      <c r="AR348" s="17"/>
      <c r="AS348" s="120"/>
      <c r="AT348" s="120"/>
      <c r="AY348" s="1"/>
    </row>
    <row r="349" spans="42:51">
      <c r="AP349" s="17"/>
      <c r="AQ349" s="17"/>
      <c r="AR349" s="17"/>
      <c r="AS349" s="120"/>
      <c r="AT349" s="120"/>
      <c r="AY349" s="1"/>
    </row>
    <row r="350" spans="42:51">
      <c r="AP350" s="17"/>
      <c r="AQ350" s="17"/>
      <c r="AR350" s="17"/>
      <c r="AS350" s="120"/>
      <c r="AT350" s="120"/>
      <c r="AY350" s="1"/>
    </row>
    <row r="351" spans="42:51">
      <c r="AP351" s="17"/>
      <c r="AQ351" s="17"/>
      <c r="AR351" s="17"/>
      <c r="AS351" s="120"/>
      <c r="AT351" s="120"/>
      <c r="AY351" s="1"/>
    </row>
    <row r="352" spans="42:51">
      <c r="AP352" s="17"/>
      <c r="AQ352" s="17"/>
      <c r="AR352" s="17"/>
      <c r="AS352" s="120"/>
      <c r="AT352" s="120"/>
      <c r="AY352" s="1"/>
    </row>
    <row r="353" spans="42:51">
      <c r="AP353" s="17"/>
      <c r="AQ353" s="17"/>
      <c r="AR353" s="17"/>
      <c r="AS353" s="120"/>
      <c r="AT353" s="120"/>
      <c r="AY353" s="1"/>
    </row>
    <row r="354" spans="42:51">
      <c r="AP354" s="17"/>
      <c r="AQ354" s="17"/>
      <c r="AR354" s="17"/>
      <c r="AS354" s="120"/>
      <c r="AT354" s="120"/>
      <c r="AY354" s="1"/>
    </row>
    <row r="355" spans="42:51">
      <c r="AP355" s="17"/>
      <c r="AQ355" s="17"/>
      <c r="AR355" s="17"/>
      <c r="AS355" s="120"/>
      <c r="AT355" s="120"/>
      <c r="AY355" s="1"/>
    </row>
    <row r="356" spans="42:51">
      <c r="AP356" s="17"/>
      <c r="AQ356" s="17"/>
      <c r="AR356" s="17"/>
      <c r="AS356" s="120"/>
      <c r="AT356" s="120"/>
      <c r="AY356" s="1"/>
    </row>
    <row r="357" spans="42:51">
      <c r="AP357" s="17"/>
      <c r="AQ357" s="17"/>
      <c r="AR357" s="17"/>
      <c r="AS357" s="120"/>
      <c r="AT357" s="120"/>
      <c r="AY357" s="1"/>
    </row>
    <row r="358" spans="42:51">
      <c r="AP358" s="17"/>
      <c r="AQ358" s="17"/>
      <c r="AR358" s="17"/>
      <c r="AS358" s="120"/>
      <c r="AT358" s="120"/>
      <c r="AY358" s="1"/>
    </row>
    <row r="359" spans="42:51">
      <c r="AP359" s="17"/>
      <c r="AQ359" s="17"/>
      <c r="AR359" s="17"/>
      <c r="AS359" s="120"/>
      <c r="AT359" s="120"/>
      <c r="AY359" s="1"/>
    </row>
    <row r="360" spans="42:51">
      <c r="AP360" s="17"/>
      <c r="AQ360" s="17"/>
      <c r="AR360" s="17"/>
      <c r="AS360" s="120"/>
      <c r="AT360" s="120"/>
      <c r="AY360" s="1"/>
    </row>
    <row r="361" spans="42:51">
      <c r="AP361" s="17"/>
      <c r="AQ361" s="17"/>
      <c r="AR361" s="17"/>
      <c r="AS361" s="120"/>
      <c r="AT361" s="120"/>
      <c r="AY361" s="1"/>
    </row>
    <row r="362" spans="42:51">
      <c r="AP362" s="17"/>
      <c r="AQ362" s="17"/>
      <c r="AR362" s="17"/>
      <c r="AS362" s="120"/>
      <c r="AT362" s="120"/>
      <c r="AY362" s="1"/>
    </row>
    <row r="363" spans="42:51">
      <c r="AP363" s="17"/>
      <c r="AQ363" s="17"/>
      <c r="AR363" s="17"/>
      <c r="AS363" s="120"/>
      <c r="AT363" s="120"/>
      <c r="AY363" s="1"/>
    </row>
    <row r="364" spans="42:51">
      <c r="AP364" s="17"/>
      <c r="AQ364" s="17"/>
      <c r="AR364" s="17"/>
      <c r="AS364" s="120"/>
      <c r="AT364" s="120"/>
      <c r="AY364" s="1"/>
    </row>
    <row r="365" spans="42:51">
      <c r="AP365" s="17"/>
      <c r="AQ365" s="17"/>
      <c r="AR365" s="17"/>
      <c r="AS365" s="120"/>
      <c r="AT365" s="120"/>
      <c r="AY365" s="1"/>
    </row>
    <row r="366" spans="42:51">
      <c r="AP366" s="17"/>
      <c r="AQ366" s="17"/>
      <c r="AR366" s="17"/>
      <c r="AS366" s="120"/>
      <c r="AT366" s="120"/>
      <c r="AY366" s="1"/>
    </row>
    <row r="367" spans="42:51">
      <c r="AP367" s="17"/>
      <c r="AQ367" s="17"/>
      <c r="AR367" s="17"/>
      <c r="AS367" s="120"/>
      <c r="AT367" s="120"/>
      <c r="AY367" s="1"/>
    </row>
    <row r="368" spans="42:51">
      <c r="AP368" s="17"/>
      <c r="AQ368" s="17"/>
      <c r="AR368" s="17"/>
      <c r="AS368" s="120"/>
      <c r="AT368" s="120"/>
      <c r="AY368" s="1"/>
    </row>
    <row r="369" spans="42:51">
      <c r="AP369" s="17"/>
      <c r="AQ369" s="17"/>
      <c r="AR369" s="17"/>
      <c r="AS369" s="120"/>
      <c r="AT369" s="120"/>
      <c r="AY369" s="1"/>
    </row>
    <row r="370" spans="42:51">
      <c r="AP370" s="17"/>
      <c r="AQ370" s="17"/>
      <c r="AR370" s="17"/>
      <c r="AS370" s="120"/>
      <c r="AT370" s="120"/>
      <c r="AY370" s="1"/>
    </row>
    <row r="371" spans="42:51">
      <c r="AP371" s="17"/>
      <c r="AQ371" s="17"/>
      <c r="AR371" s="17"/>
      <c r="AS371" s="120"/>
      <c r="AT371" s="120"/>
      <c r="AY371" s="1"/>
    </row>
    <row r="372" spans="42:51">
      <c r="AP372" s="17"/>
      <c r="AQ372" s="17"/>
      <c r="AR372" s="17"/>
      <c r="AS372" s="120"/>
      <c r="AT372" s="120"/>
      <c r="AY372" s="1"/>
    </row>
    <row r="373" spans="42:51">
      <c r="AP373" s="17"/>
      <c r="AQ373" s="17"/>
      <c r="AR373" s="17"/>
      <c r="AS373" s="120"/>
      <c r="AT373" s="120"/>
      <c r="AY373" s="1"/>
    </row>
    <row r="374" spans="42:51">
      <c r="AP374" s="17"/>
      <c r="AQ374" s="17"/>
      <c r="AR374" s="17"/>
      <c r="AS374" s="120"/>
      <c r="AT374" s="120"/>
      <c r="AY374" s="1"/>
    </row>
    <row r="375" spans="42:51">
      <c r="AP375" s="17"/>
      <c r="AQ375" s="17"/>
      <c r="AR375" s="17"/>
      <c r="AS375" s="120"/>
      <c r="AT375" s="120"/>
      <c r="AY375" s="1"/>
    </row>
    <row r="376" spans="42:51">
      <c r="AP376" s="17"/>
      <c r="AQ376" s="17"/>
      <c r="AR376" s="17"/>
      <c r="AS376" s="120"/>
      <c r="AT376" s="120"/>
      <c r="AY376" s="1"/>
    </row>
    <row r="377" spans="42:51">
      <c r="AP377" s="17"/>
      <c r="AQ377" s="17"/>
      <c r="AR377" s="17"/>
      <c r="AS377" s="120"/>
      <c r="AT377" s="120"/>
      <c r="AY377" s="1"/>
    </row>
    <row r="378" spans="42:51">
      <c r="AP378" s="17"/>
      <c r="AQ378" s="17"/>
      <c r="AR378" s="17"/>
      <c r="AS378" s="120"/>
      <c r="AT378" s="120"/>
      <c r="AY378" s="1"/>
    </row>
    <row r="379" spans="42:51">
      <c r="AP379" s="17"/>
      <c r="AQ379" s="17"/>
      <c r="AR379" s="17"/>
      <c r="AS379" s="120"/>
      <c r="AT379" s="120"/>
      <c r="AY379" s="1"/>
    </row>
    <row r="380" spans="42:51">
      <c r="AP380" s="17"/>
      <c r="AQ380" s="17"/>
      <c r="AR380" s="17"/>
      <c r="AS380" s="120"/>
      <c r="AT380" s="120"/>
      <c r="AY380" s="1"/>
    </row>
    <row r="381" spans="42:51">
      <c r="AP381" s="17"/>
      <c r="AQ381" s="17"/>
      <c r="AR381" s="17"/>
      <c r="AS381" s="120"/>
      <c r="AT381" s="120"/>
      <c r="AY381" s="1"/>
    </row>
    <row r="382" spans="42:51">
      <c r="AP382" s="17"/>
      <c r="AQ382" s="17"/>
      <c r="AR382" s="17"/>
      <c r="AS382" s="120"/>
      <c r="AT382" s="120"/>
      <c r="AY382" s="1"/>
    </row>
    <row r="383" spans="42:51">
      <c r="AP383" s="17"/>
      <c r="AQ383" s="17"/>
      <c r="AR383" s="17"/>
      <c r="AS383" s="120"/>
      <c r="AT383" s="120"/>
      <c r="AY383" s="1"/>
    </row>
    <row r="384" spans="42:51">
      <c r="AP384" s="17"/>
      <c r="AQ384" s="17"/>
      <c r="AR384" s="17"/>
      <c r="AS384" s="120"/>
      <c r="AT384" s="120"/>
      <c r="AY384" s="1"/>
    </row>
    <row r="385" spans="42:51">
      <c r="AP385" s="17"/>
      <c r="AQ385" s="17"/>
      <c r="AR385" s="17"/>
      <c r="AS385" s="120"/>
      <c r="AT385" s="120"/>
      <c r="AY385" s="1"/>
    </row>
    <row r="386" spans="42:51">
      <c r="AP386" s="17"/>
      <c r="AQ386" s="17"/>
      <c r="AR386" s="17"/>
      <c r="AS386" s="120"/>
      <c r="AT386" s="120"/>
      <c r="AY386" s="1"/>
    </row>
    <row r="387" spans="42:51">
      <c r="AP387" s="17"/>
      <c r="AQ387" s="17"/>
      <c r="AR387" s="17"/>
      <c r="AS387" s="120"/>
      <c r="AT387" s="120"/>
      <c r="AY387" s="1"/>
    </row>
    <row r="388" spans="42:51">
      <c r="AP388" s="17"/>
      <c r="AQ388" s="17"/>
      <c r="AR388" s="17"/>
      <c r="AS388" s="120"/>
      <c r="AT388" s="120"/>
      <c r="AY388" s="1"/>
    </row>
    <row r="389" spans="42:51">
      <c r="AP389" s="17"/>
      <c r="AQ389" s="17"/>
      <c r="AR389" s="17"/>
      <c r="AS389" s="120"/>
      <c r="AT389" s="120"/>
      <c r="AY389" s="1"/>
    </row>
    <row r="390" spans="42:51">
      <c r="AP390" s="17"/>
      <c r="AQ390" s="17"/>
      <c r="AR390" s="17"/>
      <c r="AS390" s="120"/>
      <c r="AT390" s="120"/>
      <c r="AY390" s="1"/>
    </row>
    <row r="391" spans="42:51">
      <c r="AP391" s="17"/>
      <c r="AQ391" s="17"/>
      <c r="AR391" s="17"/>
      <c r="AS391" s="120"/>
      <c r="AT391" s="120"/>
      <c r="AY391" s="1"/>
    </row>
    <row r="392" spans="42:51">
      <c r="AP392" s="17"/>
      <c r="AQ392" s="17"/>
      <c r="AR392" s="17"/>
      <c r="AS392" s="120"/>
      <c r="AT392" s="120"/>
      <c r="AY392" s="1"/>
    </row>
    <row r="393" spans="42:51">
      <c r="AP393" s="17"/>
      <c r="AQ393" s="17"/>
      <c r="AR393" s="17"/>
      <c r="AS393" s="120"/>
      <c r="AT393" s="120"/>
      <c r="AY393" s="1"/>
    </row>
    <row r="394" spans="42:51">
      <c r="AP394" s="17"/>
      <c r="AQ394" s="17"/>
      <c r="AR394" s="17"/>
      <c r="AS394" s="120"/>
      <c r="AT394" s="120"/>
      <c r="AY394" s="1"/>
    </row>
    <row r="395" spans="42:51">
      <c r="AP395" s="17"/>
      <c r="AQ395" s="17"/>
      <c r="AR395" s="17"/>
      <c r="AS395" s="120"/>
      <c r="AT395" s="120"/>
      <c r="AY395" s="1"/>
    </row>
    <row r="396" spans="42:51">
      <c r="AP396" s="17"/>
      <c r="AQ396" s="17"/>
      <c r="AR396" s="17"/>
      <c r="AS396" s="120"/>
      <c r="AT396" s="120"/>
      <c r="AY396" s="1"/>
    </row>
    <row r="397" spans="42:51">
      <c r="AP397" s="17"/>
      <c r="AQ397" s="17"/>
      <c r="AR397" s="17"/>
      <c r="AS397" s="120"/>
      <c r="AT397" s="120"/>
      <c r="AY397" s="1"/>
    </row>
    <row r="398" spans="42:51">
      <c r="AP398" s="17"/>
      <c r="AQ398" s="17"/>
      <c r="AR398" s="17"/>
      <c r="AS398" s="120"/>
      <c r="AT398" s="120"/>
      <c r="AY398" s="1"/>
    </row>
    <row r="399" spans="42:51">
      <c r="AP399" s="17"/>
      <c r="AQ399" s="17"/>
      <c r="AR399" s="17"/>
      <c r="AS399" s="120"/>
      <c r="AT399" s="120"/>
      <c r="AY399" s="1"/>
    </row>
    <row r="400" spans="42:51">
      <c r="AP400" s="17"/>
      <c r="AQ400" s="17"/>
      <c r="AR400" s="17"/>
      <c r="AS400" s="120"/>
      <c r="AT400" s="120"/>
      <c r="AY400" s="1"/>
    </row>
    <row r="401" spans="42:51">
      <c r="AP401" s="17"/>
      <c r="AQ401" s="17"/>
      <c r="AR401" s="17"/>
      <c r="AS401" s="120"/>
      <c r="AT401" s="120"/>
      <c r="AY401" s="1"/>
    </row>
    <row r="402" spans="42:51">
      <c r="AP402" s="17"/>
      <c r="AQ402" s="17"/>
      <c r="AR402" s="17"/>
      <c r="AS402" s="120"/>
      <c r="AT402" s="120"/>
      <c r="AY402" s="1"/>
    </row>
    <row r="403" spans="42:51">
      <c r="AP403" s="17"/>
      <c r="AQ403" s="17"/>
      <c r="AR403" s="17"/>
      <c r="AS403" s="120"/>
      <c r="AT403" s="120"/>
      <c r="AY403" s="1"/>
    </row>
    <row r="404" spans="42:51">
      <c r="AP404" s="17"/>
      <c r="AQ404" s="17"/>
      <c r="AR404" s="17"/>
      <c r="AS404" s="120"/>
      <c r="AT404" s="120"/>
      <c r="AY404" s="1"/>
    </row>
    <row r="405" spans="42:51">
      <c r="AP405" s="17"/>
      <c r="AQ405" s="17"/>
      <c r="AR405" s="17"/>
      <c r="AS405" s="120"/>
      <c r="AT405" s="120"/>
      <c r="AY405" s="1"/>
    </row>
    <row r="406" spans="42:51">
      <c r="AP406" s="17"/>
      <c r="AQ406" s="17"/>
      <c r="AR406" s="17"/>
      <c r="AS406" s="120"/>
      <c r="AT406" s="120"/>
      <c r="AY406" s="1"/>
    </row>
    <row r="407" spans="42:51">
      <c r="AP407" s="17"/>
      <c r="AQ407" s="17"/>
      <c r="AR407" s="17"/>
      <c r="AS407" s="120"/>
      <c r="AT407" s="120"/>
      <c r="AY407" s="1"/>
    </row>
    <row r="408" spans="42:51">
      <c r="AP408" s="17"/>
      <c r="AQ408" s="17"/>
      <c r="AR408" s="17"/>
      <c r="AS408" s="120"/>
      <c r="AT408" s="120"/>
      <c r="AY408" s="1"/>
    </row>
    <row r="409" spans="42:51">
      <c r="AP409" s="17"/>
      <c r="AQ409" s="17"/>
      <c r="AR409" s="17"/>
      <c r="AS409" s="120"/>
      <c r="AT409" s="120"/>
      <c r="AY409" s="1"/>
    </row>
    <row r="410" spans="42:51">
      <c r="AP410" s="17"/>
      <c r="AQ410" s="17"/>
      <c r="AR410" s="17"/>
      <c r="AS410" s="120"/>
      <c r="AT410" s="120"/>
      <c r="AY410" s="1"/>
    </row>
    <row r="411" spans="42:51">
      <c r="AP411" s="17"/>
      <c r="AQ411" s="17"/>
      <c r="AR411" s="17"/>
      <c r="AS411" s="120"/>
      <c r="AT411" s="120"/>
      <c r="AY411" s="1"/>
    </row>
    <row r="412" spans="42:51">
      <c r="AP412" s="17"/>
      <c r="AQ412" s="17"/>
      <c r="AR412" s="17"/>
      <c r="AS412" s="120"/>
      <c r="AT412" s="120"/>
      <c r="AY412" s="1"/>
    </row>
    <row r="413" spans="42:51">
      <c r="AP413" s="17"/>
      <c r="AQ413" s="17"/>
      <c r="AR413" s="17"/>
      <c r="AS413" s="120"/>
      <c r="AT413" s="120"/>
      <c r="AY413" s="1"/>
    </row>
    <row r="414" spans="42:51">
      <c r="AP414" s="17"/>
      <c r="AQ414" s="17"/>
      <c r="AR414" s="17"/>
      <c r="AS414" s="120"/>
      <c r="AT414" s="120"/>
      <c r="AY414" s="1"/>
    </row>
    <row r="415" spans="42:51">
      <c r="AP415" s="17"/>
      <c r="AQ415" s="17"/>
      <c r="AR415" s="17"/>
      <c r="AS415" s="120"/>
      <c r="AT415" s="120"/>
      <c r="AY415" s="1"/>
    </row>
    <row r="416" spans="42:51">
      <c r="AP416" s="17"/>
      <c r="AQ416" s="17"/>
      <c r="AR416" s="17"/>
      <c r="AS416" s="120"/>
      <c r="AT416" s="120"/>
      <c r="AY416" s="1"/>
    </row>
    <row r="417" spans="42:51">
      <c r="AP417" s="17"/>
      <c r="AQ417" s="17"/>
      <c r="AR417" s="17"/>
      <c r="AS417" s="120"/>
      <c r="AT417" s="120"/>
      <c r="AY417" s="1"/>
    </row>
    <row r="418" spans="42:51">
      <c r="AP418" s="17"/>
      <c r="AQ418" s="17"/>
      <c r="AR418" s="17"/>
      <c r="AS418" s="120"/>
      <c r="AT418" s="120"/>
      <c r="AY418" s="1"/>
    </row>
    <row r="419" spans="42:51">
      <c r="AP419" s="17"/>
      <c r="AQ419" s="17"/>
      <c r="AR419" s="17"/>
      <c r="AS419" s="120"/>
      <c r="AT419" s="120"/>
      <c r="AY419" s="1"/>
    </row>
    <row r="420" spans="42:51">
      <c r="AP420" s="17"/>
      <c r="AQ420" s="17"/>
      <c r="AR420" s="17"/>
      <c r="AS420" s="120"/>
      <c r="AT420" s="120"/>
      <c r="AY420" s="1"/>
    </row>
    <row r="421" spans="42:51">
      <c r="AP421" s="17"/>
      <c r="AQ421" s="17"/>
      <c r="AR421" s="17"/>
      <c r="AS421" s="120"/>
      <c r="AT421" s="120"/>
      <c r="AY421" s="1"/>
    </row>
    <row r="422" spans="42:51">
      <c r="AP422" s="17"/>
      <c r="AQ422" s="17"/>
      <c r="AR422" s="17"/>
      <c r="AS422" s="120"/>
      <c r="AT422" s="120"/>
      <c r="AY422" s="1"/>
    </row>
    <row r="423" spans="42:51">
      <c r="AP423" s="17"/>
      <c r="AQ423" s="17"/>
      <c r="AR423" s="17"/>
      <c r="AS423" s="120"/>
      <c r="AT423" s="120"/>
      <c r="AY423" s="1"/>
    </row>
    <row r="424" spans="42:51">
      <c r="AP424" s="17"/>
      <c r="AQ424" s="17"/>
      <c r="AR424" s="17"/>
      <c r="AS424" s="120"/>
      <c r="AT424" s="120"/>
      <c r="AY424" s="1"/>
    </row>
    <row r="425" spans="42:51">
      <c r="AP425" s="17"/>
      <c r="AQ425" s="17"/>
      <c r="AR425" s="17"/>
      <c r="AS425" s="120"/>
      <c r="AT425" s="120"/>
      <c r="AY425" s="1"/>
    </row>
    <row r="426" spans="42:51">
      <c r="AP426" s="17"/>
      <c r="AQ426" s="17"/>
      <c r="AR426" s="17"/>
      <c r="AS426" s="120"/>
      <c r="AT426" s="120"/>
      <c r="AY426" s="1"/>
    </row>
    <row r="427" spans="42:51">
      <c r="AP427" s="17"/>
      <c r="AQ427" s="17"/>
      <c r="AR427" s="17"/>
      <c r="AS427" s="120"/>
      <c r="AT427" s="120"/>
      <c r="AY427" s="1"/>
    </row>
    <row r="428" spans="42:51">
      <c r="AP428" s="17"/>
      <c r="AQ428" s="17"/>
      <c r="AR428" s="17"/>
      <c r="AS428" s="120"/>
      <c r="AT428" s="120"/>
      <c r="AY428" s="1"/>
    </row>
    <row r="429" spans="42:51">
      <c r="AP429" s="17"/>
      <c r="AQ429" s="17"/>
      <c r="AR429" s="17"/>
      <c r="AS429" s="120"/>
      <c r="AT429" s="120"/>
      <c r="AY429" s="1"/>
    </row>
    <row r="430" spans="42:51">
      <c r="AP430" s="17"/>
      <c r="AQ430" s="17"/>
      <c r="AR430" s="17"/>
      <c r="AS430" s="120"/>
      <c r="AT430" s="120"/>
      <c r="AY430" s="1"/>
    </row>
    <row r="431" spans="42:51">
      <c r="AP431" s="17"/>
      <c r="AQ431" s="17"/>
      <c r="AR431" s="17"/>
      <c r="AS431" s="120"/>
      <c r="AT431" s="120"/>
      <c r="AY431" s="1"/>
    </row>
    <row r="432" spans="42:51">
      <c r="AP432" s="17"/>
      <c r="AQ432" s="17"/>
      <c r="AR432" s="17"/>
      <c r="AS432" s="120"/>
      <c r="AT432" s="120"/>
      <c r="AY432" s="1"/>
    </row>
    <row r="433" spans="42:51">
      <c r="AP433" s="17"/>
      <c r="AQ433" s="17"/>
      <c r="AR433" s="17"/>
      <c r="AS433" s="120"/>
      <c r="AT433" s="120"/>
      <c r="AY433" s="1"/>
    </row>
    <row r="434" spans="42:51">
      <c r="AP434" s="17"/>
      <c r="AQ434" s="17"/>
      <c r="AR434" s="17"/>
      <c r="AS434" s="120"/>
      <c r="AT434" s="120"/>
      <c r="AY434" s="1"/>
    </row>
    <row r="435" spans="42:51">
      <c r="AP435" s="17"/>
      <c r="AQ435" s="17"/>
      <c r="AR435" s="17"/>
      <c r="AS435" s="120"/>
      <c r="AT435" s="120"/>
      <c r="AY435" s="1"/>
    </row>
    <row r="436" spans="42:51">
      <c r="AP436" s="17"/>
      <c r="AQ436" s="17"/>
      <c r="AR436" s="17"/>
      <c r="AS436" s="120"/>
      <c r="AT436" s="120"/>
      <c r="AY436" s="1"/>
    </row>
    <row r="437" spans="42:51">
      <c r="AP437" s="17"/>
      <c r="AQ437" s="17"/>
      <c r="AR437" s="17"/>
      <c r="AS437" s="120"/>
      <c r="AT437" s="120"/>
      <c r="AY437" s="1"/>
    </row>
    <row r="438" spans="42:51">
      <c r="AP438" s="17"/>
      <c r="AQ438" s="17"/>
      <c r="AR438" s="17"/>
      <c r="AS438" s="120"/>
      <c r="AT438" s="120"/>
      <c r="AY438" s="1"/>
    </row>
    <row r="439" spans="42:51">
      <c r="AP439" s="17"/>
      <c r="AQ439" s="17"/>
      <c r="AR439" s="17"/>
      <c r="AS439" s="120"/>
      <c r="AT439" s="120"/>
      <c r="AY439" s="1"/>
    </row>
    <row r="440" spans="42:51">
      <c r="AP440" s="17"/>
      <c r="AQ440" s="17"/>
      <c r="AR440" s="17"/>
      <c r="AS440" s="120"/>
      <c r="AT440" s="120"/>
      <c r="AY440" s="1"/>
    </row>
    <row r="441" spans="42:51">
      <c r="AP441" s="17"/>
      <c r="AQ441" s="17"/>
      <c r="AR441" s="17"/>
      <c r="AS441" s="120"/>
      <c r="AT441" s="120"/>
      <c r="AY441" s="1"/>
    </row>
    <row r="442" spans="42:51">
      <c r="AP442" s="17"/>
      <c r="AQ442" s="17"/>
      <c r="AR442" s="17"/>
      <c r="AS442" s="120"/>
      <c r="AT442" s="120"/>
      <c r="AY442" s="1"/>
    </row>
    <row r="443" spans="42:51">
      <c r="AP443" s="17"/>
      <c r="AQ443" s="17"/>
      <c r="AR443" s="17"/>
      <c r="AS443" s="120"/>
      <c r="AT443" s="120"/>
      <c r="AY443" s="1"/>
    </row>
    <row r="444" spans="42:51">
      <c r="AP444" s="17"/>
      <c r="AQ444" s="17"/>
      <c r="AR444" s="17"/>
      <c r="AS444" s="120"/>
      <c r="AT444" s="120"/>
      <c r="AY444" s="1"/>
    </row>
    <row r="445" spans="42:51">
      <c r="AP445" s="17"/>
      <c r="AQ445" s="17"/>
      <c r="AR445" s="17"/>
      <c r="AS445" s="120"/>
      <c r="AT445" s="120"/>
      <c r="AY445" s="1"/>
    </row>
    <row r="446" spans="42:51">
      <c r="AP446" s="17"/>
      <c r="AQ446" s="17"/>
      <c r="AR446" s="17"/>
      <c r="AS446" s="120"/>
      <c r="AT446" s="120"/>
      <c r="AY446" s="1"/>
    </row>
    <row r="447" spans="42:51">
      <c r="AP447" s="17"/>
      <c r="AQ447" s="17"/>
      <c r="AR447" s="17"/>
      <c r="AS447" s="120"/>
      <c r="AT447" s="120"/>
      <c r="AY447" s="1"/>
    </row>
    <row r="448" spans="42:51">
      <c r="AP448" s="17"/>
      <c r="AQ448" s="17"/>
      <c r="AR448" s="17"/>
      <c r="AS448" s="120"/>
      <c r="AT448" s="120"/>
      <c r="AY448" s="1"/>
    </row>
    <row r="449" spans="42:51">
      <c r="AP449" s="17"/>
      <c r="AQ449" s="17"/>
      <c r="AR449" s="17"/>
      <c r="AS449" s="120"/>
      <c r="AT449" s="120"/>
      <c r="AY449" s="1"/>
    </row>
    <row r="450" spans="42:51">
      <c r="AP450" s="17"/>
      <c r="AQ450" s="17"/>
      <c r="AR450" s="17"/>
      <c r="AS450" s="120"/>
      <c r="AT450" s="120"/>
      <c r="AY450" s="1"/>
    </row>
    <row r="451" spans="42:51">
      <c r="AP451" s="17"/>
      <c r="AQ451" s="17"/>
      <c r="AR451" s="17"/>
      <c r="AS451" s="120"/>
      <c r="AT451" s="120"/>
      <c r="AY451" s="1"/>
    </row>
    <row r="452" spans="42:51">
      <c r="AP452" s="17"/>
      <c r="AQ452" s="17"/>
      <c r="AR452" s="17"/>
      <c r="AS452" s="120"/>
      <c r="AT452" s="120"/>
      <c r="AY452" s="1"/>
    </row>
    <row r="453" spans="42:51">
      <c r="AP453" s="17"/>
      <c r="AQ453" s="17"/>
      <c r="AR453" s="17"/>
      <c r="AS453" s="120"/>
      <c r="AT453" s="120"/>
      <c r="AY453" s="1"/>
    </row>
    <row r="454" spans="42:51">
      <c r="AP454" s="17"/>
      <c r="AQ454" s="17"/>
      <c r="AR454" s="17"/>
      <c r="AS454" s="120"/>
      <c r="AT454" s="120"/>
      <c r="AY454" s="1"/>
    </row>
    <row r="455" spans="42:51">
      <c r="AP455" s="17"/>
      <c r="AQ455" s="17"/>
      <c r="AR455" s="17"/>
      <c r="AS455" s="120"/>
      <c r="AT455" s="120"/>
      <c r="AY455" s="1"/>
    </row>
    <row r="456" spans="42:51">
      <c r="AP456" s="17"/>
      <c r="AQ456" s="17"/>
      <c r="AR456" s="17"/>
      <c r="AS456" s="120"/>
      <c r="AT456" s="120"/>
      <c r="AY456" s="1"/>
    </row>
    <row r="457" spans="42:51">
      <c r="AP457" s="17"/>
      <c r="AQ457" s="17"/>
      <c r="AR457" s="17"/>
      <c r="AS457" s="120"/>
      <c r="AT457" s="120"/>
      <c r="AY457" s="1"/>
    </row>
    <row r="458" spans="42:51">
      <c r="AP458" s="17"/>
      <c r="AQ458" s="17"/>
      <c r="AR458" s="17"/>
      <c r="AS458" s="120"/>
      <c r="AT458" s="120"/>
      <c r="AY458" s="1"/>
    </row>
    <row r="459" spans="42:51">
      <c r="AP459" s="17"/>
      <c r="AQ459" s="17"/>
      <c r="AR459" s="17"/>
      <c r="AS459" s="120"/>
      <c r="AT459" s="120"/>
      <c r="AY459" s="1"/>
    </row>
    <row r="460" spans="42:51">
      <c r="AP460" s="17"/>
      <c r="AQ460" s="17"/>
      <c r="AR460" s="17"/>
      <c r="AS460" s="120"/>
      <c r="AT460" s="120"/>
      <c r="AY460" s="1"/>
    </row>
    <row r="461" spans="42:51">
      <c r="AP461" s="17"/>
      <c r="AQ461" s="17"/>
      <c r="AR461" s="17"/>
      <c r="AS461" s="120"/>
      <c r="AT461" s="120"/>
      <c r="AY461" s="1"/>
    </row>
    <row r="462" spans="42:51">
      <c r="AP462" s="17"/>
      <c r="AQ462" s="17"/>
      <c r="AR462" s="17"/>
      <c r="AS462" s="120"/>
      <c r="AT462" s="120"/>
      <c r="AY462" s="1"/>
    </row>
    <row r="463" spans="42:51">
      <c r="AP463" s="17"/>
      <c r="AQ463" s="17"/>
      <c r="AR463" s="17"/>
      <c r="AS463" s="120"/>
      <c r="AT463" s="120"/>
      <c r="AY463" s="1"/>
    </row>
    <row r="464" spans="42:51">
      <c r="AP464" s="17"/>
      <c r="AQ464" s="17"/>
      <c r="AR464" s="17"/>
      <c r="AS464" s="120"/>
      <c r="AT464" s="120"/>
      <c r="AY464" s="1"/>
    </row>
    <row r="465" spans="42:51">
      <c r="AP465" s="17"/>
      <c r="AQ465" s="17"/>
      <c r="AR465" s="17"/>
      <c r="AS465" s="120"/>
      <c r="AT465" s="120"/>
      <c r="AY465" s="1"/>
    </row>
    <row r="466" spans="42:51">
      <c r="AP466" s="17"/>
      <c r="AQ466" s="17"/>
      <c r="AR466" s="17"/>
      <c r="AS466" s="120"/>
      <c r="AT466" s="120"/>
      <c r="AY466" s="1"/>
    </row>
    <row r="467" spans="42:51">
      <c r="AP467" s="17"/>
      <c r="AQ467" s="17"/>
      <c r="AR467" s="17"/>
      <c r="AS467" s="120"/>
      <c r="AT467" s="120"/>
      <c r="AY467" s="1"/>
    </row>
    <row r="468" spans="42:51">
      <c r="AP468" s="17"/>
      <c r="AQ468" s="17"/>
      <c r="AR468" s="17"/>
      <c r="AS468" s="120"/>
      <c r="AT468" s="120"/>
      <c r="AY468" s="1"/>
    </row>
    <row r="469" spans="42:51">
      <c r="AP469" s="17"/>
      <c r="AQ469" s="17"/>
      <c r="AR469" s="17"/>
      <c r="AS469" s="120"/>
      <c r="AT469" s="120"/>
      <c r="AY469" s="1"/>
    </row>
    <row r="470" spans="42:51">
      <c r="AP470" s="17"/>
      <c r="AQ470" s="17"/>
      <c r="AR470" s="17"/>
      <c r="AS470" s="120"/>
      <c r="AT470" s="120"/>
      <c r="AY470" s="1"/>
    </row>
    <row r="471" spans="42:51">
      <c r="AP471" s="17"/>
      <c r="AQ471" s="17"/>
      <c r="AR471" s="17"/>
      <c r="AS471" s="120"/>
      <c r="AT471" s="120"/>
      <c r="AY471" s="1"/>
    </row>
    <row r="472" spans="42:51">
      <c r="AP472" s="17"/>
      <c r="AQ472" s="17"/>
      <c r="AR472" s="17"/>
      <c r="AS472" s="120"/>
      <c r="AT472" s="120"/>
      <c r="AY472" s="1"/>
    </row>
    <row r="473" spans="42:51">
      <c r="AP473" s="17"/>
      <c r="AQ473" s="17"/>
      <c r="AR473" s="17"/>
      <c r="AS473" s="120"/>
      <c r="AT473" s="120"/>
      <c r="AY473" s="1"/>
    </row>
    <row r="474" spans="42:51">
      <c r="AP474" s="17"/>
      <c r="AQ474" s="17"/>
      <c r="AR474" s="17"/>
      <c r="AS474" s="120"/>
      <c r="AT474" s="120"/>
      <c r="AY474" s="1"/>
    </row>
    <row r="475" spans="42:51">
      <c r="AP475" s="17"/>
      <c r="AQ475" s="17"/>
      <c r="AR475" s="17"/>
      <c r="AS475" s="120"/>
      <c r="AT475" s="120"/>
      <c r="AY475" s="1"/>
    </row>
    <row r="476" spans="42:51">
      <c r="AP476" s="17"/>
      <c r="AQ476" s="17"/>
      <c r="AR476" s="17"/>
      <c r="AS476" s="120"/>
      <c r="AT476" s="120"/>
      <c r="AY476" s="1"/>
    </row>
    <row r="477" spans="42:51">
      <c r="AP477" s="17"/>
      <c r="AQ477" s="17"/>
      <c r="AR477" s="17"/>
      <c r="AS477" s="120"/>
      <c r="AT477" s="120"/>
      <c r="AY477" s="1"/>
    </row>
    <row r="478" spans="42:51">
      <c r="AP478" s="17"/>
      <c r="AQ478" s="17"/>
      <c r="AR478" s="17"/>
      <c r="AS478" s="120"/>
      <c r="AT478" s="120"/>
      <c r="AY478" s="1"/>
    </row>
    <row r="479" spans="42:51">
      <c r="AP479" s="17"/>
      <c r="AQ479" s="17"/>
      <c r="AR479" s="17"/>
      <c r="AS479" s="120"/>
      <c r="AT479" s="120"/>
      <c r="AY479" s="1"/>
    </row>
    <row r="480" spans="42:51">
      <c r="AP480" s="17"/>
      <c r="AQ480" s="17"/>
      <c r="AR480" s="17"/>
      <c r="AS480" s="120"/>
      <c r="AT480" s="120"/>
      <c r="AY480" s="1"/>
    </row>
    <row r="481" spans="42:51">
      <c r="AP481" s="17"/>
      <c r="AQ481" s="17"/>
      <c r="AR481" s="17"/>
      <c r="AS481" s="120"/>
      <c r="AT481" s="120"/>
      <c r="AY481" s="1"/>
    </row>
    <row r="482" spans="42:51">
      <c r="AP482" s="17"/>
      <c r="AQ482" s="17"/>
      <c r="AR482" s="17"/>
      <c r="AS482" s="120"/>
      <c r="AT482" s="120"/>
      <c r="AY482" s="1"/>
    </row>
    <row r="483" spans="42:51">
      <c r="AP483" s="17"/>
      <c r="AQ483" s="17"/>
      <c r="AR483" s="17"/>
      <c r="AS483" s="120"/>
      <c r="AT483" s="120"/>
      <c r="AY483" s="1"/>
    </row>
    <row r="484" spans="42:51">
      <c r="AP484" s="17"/>
      <c r="AQ484" s="17"/>
      <c r="AR484" s="17"/>
      <c r="AS484" s="120"/>
      <c r="AT484" s="120"/>
      <c r="AY484" s="1"/>
    </row>
    <row r="485" spans="42:51">
      <c r="AP485" s="17"/>
      <c r="AQ485" s="17"/>
      <c r="AR485" s="17"/>
      <c r="AS485" s="120"/>
      <c r="AT485" s="120"/>
      <c r="AY485" s="1"/>
    </row>
    <row r="486" spans="42:51">
      <c r="AP486" s="17"/>
      <c r="AQ486" s="17"/>
      <c r="AR486" s="17"/>
      <c r="AS486" s="120"/>
      <c r="AT486" s="120"/>
      <c r="AY486" s="1"/>
    </row>
    <row r="487" spans="42:51">
      <c r="AP487" s="17"/>
      <c r="AQ487" s="17"/>
      <c r="AR487" s="17"/>
      <c r="AS487" s="120"/>
      <c r="AT487" s="120"/>
      <c r="AY487" s="1"/>
    </row>
    <row r="488" spans="42:51">
      <c r="AP488" s="17"/>
      <c r="AQ488" s="17"/>
      <c r="AR488" s="17"/>
      <c r="AS488" s="120"/>
      <c r="AT488" s="120"/>
      <c r="AY488" s="1"/>
    </row>
    <row r="489" spans="42:51">
      <c r="AP489" s="17"/>
      <c r="AQ489" s="17"/>
      <c r="AR489" s="17"/>
      <c r="AS489" s="120"/>
      <c r="AT489" s="120"/>
      <c r="AY489" s="1"/>
    </row>
    <row r="490" spans="42:51">
      <c r="AP490" s="17"/>
      <c r="AQ490" s="17"/>
      <c r="AR490" s="17"/>
      <c r="AS490" s="120"/>
      <c r="AT490" s="120"/>
      <c r="AY490" s="1"/>
    </row>
    <row r="491" spans="42:51">
      <c r="AP491" s="17"/>
      <c r="AQ491" s="17"/>
      <c r="AR491" s="17"/>
      <c r="AS491" s="120"/>
      <c r="AT491" s="120"/>
      <c r="AY491" s="1"/>
    </row>
    <row r="492" spans="42:51">
      <c r="AP492" s="17"/>
      <c r="AQ492" s="17"/>
      <c r="AR492" s="17"/>
      <c r="AS492" s="120"/>
      <c r="AT492" s="120"/>
      <c r="AY492" s="1"/>
    </row>
    <row r="493" spans="42:51">
      <c r="AP493" s="17"/>
      <c r="AQ493" s="17"/>
      <c r="AR493" s="17"/>
      <c r="AS493" s="120"/>
      <c r="AT493" s="120"/>
      <c r="AY493" s="1"/>
    </row>
    <row r="494" spans="42:51">
      <c r="AP494" s="17"/>
      <c r="AQ494" s="17"/>
      <c r="AR494" s="17"/>
      <c r="AS494" s="120"/>
      <c r="AT494" s="120"/>
      <c r="AY494" s="1"/>
    </row>
    <row r="495" spans="42:51">
      <c r="AP495" s="17"/>
      <c r="AQ495" s="17"/>
      <c r="AR495" s="17"/>
      <c r="AS495" s="120"/>
      <c r="AT495" s="120"/>
      <c r="AY495" s="1"/>
    </row>
    <row r="496" spans="42:51">
      <c r="AP496" s="17"/>
      <c r="AQ496" s="17"/>
      <c r="AR496" s="17"/>
      <c r="AS496" s="120"/>
      <c r="AT496" s="120"/>
      <c r="AY496" s="1"/>
    </row>
    <row r="497" spans="42:51">
      <c r="AP497" s="17"/>
      <c r="AQ497" s="17"/>
      <c r="AR497" s="17"/>
      <c r="AS497" s="120"/>
      <c r="AT497" s="120"/>
      <c r="AY497" s="1"/>
    </row>
    <row r="498" spans="42:51">
      <c r="AP498" s="17"/>
      <c r="AQ498" s="17"/>
      <c r="AR498" s="17"/>
      <c r="AS498" s="120"/>
      <c r="AT498" s="120"/>
      <c r="AY498" s="1"/>
    </row>
    <row r="499" spans="42:51">
      <c r="AP499" s="17"/>
      <c r="AQ499" s="17"/>
      <c r="AR499" s="17"/>
      <c r="AS499" s="120"/>
      <c r="AT499" s="120"/>
      <c r="AY499" s="1"/>
    </row>
    <row r="500" spans="42:51">
      <c r="AP500" s="17"/>
      <c r="AQ500" s="17"/>
      <c r="AR500" s="17"/>
      <c r="AS500" s="120"/>
      <c r="AT500" s="120"/>
      <c r="AY500" s="1"/>
    </row>
    <row r="501" spans="42:51">
      <c r="AP501" s="17"/>
      <c r="AQ501" s="17"/>
      <c r="AR501" s="17"/>
      <c r="AS501" s="120"/>
      <c r="AT501" s="120"/>
      <c r="AY501" s="1"/>
    </row>
    <row r="502" spans="42:51">
      <c r="AP502" s="17"/>
      <c r="AQ502" s="17"/>
      <c r="AR502" s="17"/>
      <c r="AS502" s="120"/>
      <c r="AT502" s="120"/>
      <c r="AY502" s="1"/>
    </row>
    <row r="503" spans="42:51">
      <c r="AP503" s="17"/>
      <c r="AQ503" s="17"/>
      <c r="AR503" s="17"/>
      <c r="AS503" s="120"/>
      <c r="AT503" s="120"/>
      <c r="AY503" s="1"/>
    </row>
    <row r="504" spans="42:51">
      <c r="AP504" s="17"/>
      <c r="AQ504" s="17"/>
      <c r="AR504" s="17"/>
      <c r="AS504" s="120"/>
      <c r="AT504" s="120"/>
      <c r="AY504" s="1"/>
    </row>
    <row r="505" spans="42:51">
      <c r="AP505" s="17"/>
      <c r="AQ505" s="17"/>
      <c r="AR505" s="17"/>
      <c r="AS505" s="120"/>
      <c r="AT505" s="120"/>
      <c r="AY505" s="1"/>
    </row>
    <row r="506" spans="42:51">
      <c r="AP506" s="17"/>
      <c r="AQ506" s="17"/>
      <c r="AR506" s="17"/>
      <c r="AS506" s="120"/>
      <c r="AT506" s="120"/>
      <c r="AY506" s="1"/>
    </row>
    <row r="507" spans="42:51">
      <c r="AP507" s="17"/>
      <c r="AQ507" s="17"/>
      <c r="AR507" s="17"/>
      <c r="AS507" s="120"/>
      <c r="AT507" s="120"/>
      <c r="AY507" s="1"/>
    </row>
    <row r="508" spans="42:51">
      <c r="AP508" s="17"/>
      <c r="AQ508" s="17"/>
      <c r="AR508" s="17"/>
      <c r="AS508" s="120"/>
      <c r="AT508" s="120"/>
      <c r="AY508" s="1"/>
    </row>
    <row r="509" spans="42:51">
      <c r="AP509" s="17"/>
      <c r="AQ509" s="17"/>
      <c r="AR509" s="17"/>
      <c r="AS509" s="120"/>
      <c r="AT509" s="120"/>
      <c r="AY509" s="1"/>
    </row>
    <row r="510" spans="42:51">
      <c r="AP510" s="17"/>
      <c r="AQ510" s="17"/>
      <c r="AR510" s="17"/>
      <c r="AS510" s="120"/>
      <c r="AT510" s="120"/>
      <c r="AY510" s="1"/>
    </row>
    <row r="511" spans="42:51">
      <c r="AP511" s="17"/>
      <c r="AQ511" s="17"/>
      <c r="AR511" s="17"/>
      <c r="AS511" s="120"/>
      <c r="AT511" s="120"/>
      <c r="AY511" s="1"/>
    </row>
    <row r="512" spans="42:51">
      <c r="AP512" s="17"/>
      <c r="AQ512" s="17"/>
      <c r="AR512" s="17"/>
      <c r="AS512" s="120"/>
      <c r="AT512" s="120"/>
      <c r="AY512" s="1"/>
    </row>
    <row r="513" spans="42:51">
      <c r="AP513" s="17"/>
      <c r="AQ513" s="17"/>
      <c r="AR513" s="17"/>
      <c r="AS513" s="120"/>
      <c r="AT513" s="120"/>
      <c r="AY513" s="1"/>
    </row>
    <row r="514" spans="42:51">
      <c r="AP514" s="17"/>
      <c r="AQ514" s="17"/>
      <c r="AR514" s="17"/>
      <c r="AS514" s="120"/>
      <c r="AT514" s="120"/>
      <c r="AY514" s="1"/>
    </row>
    <row r="515" spans="42:51">
      <c r="AP515" s="17"/>
      <c r="AQ515" s="17"/>
      <c r="AR515" s="17"/>
      <c r="AS515" s="120"/>
      <c r="AT515" s="120"/>
      <c r="AY515" s="1"/>
    </row>
    <row r="516" spans="42:51">
      <c r="AP516" s="17"/>
      <c r="AQ516" s="17"/>
      <c r="AR516" s="17"/>
      <c r="AS516" s="120"/>
      <c r="AT516" s="120"/>
      <c r="AY516" s="1"/>
    </row>
    <row r="517" spans="42:51">
      <c r="AP517" s="17"/>
      <c r="AQ517" s="17"/>
      <c r="AR517" s="17"/>
      <c r="AS517" s="120"/>
      <c r="AT517" s="120"/>
      <c r="AY517" s="1"/>
    </row>
    <row r="518" spans="42:51">
      <c r="AP518" s="17"/>
      <c r="AQ518" s="17"/>
      <c r="AR518" s="17"/>
      <c r="AS518" s="120"/>
      <c r="AT518" s="120"/>
      <c r="AY518" s="1"/>
    </row>
    <row r="519" spans="42:51">
      <c r="AP519" s="17"/>
      <c r="AQ519" s="17"/>
      <c r="AR519" s="17"/>
      <c r="AS519" s="120"/>
      <c r="AT519" s="120"/>
      <c r="AY519" s="1"/>
    </row>
    <row r="520" spans="42:51">
      <c r="AP520" s="17"/>
      <c r="AQ520" s="17"/>
      <c r="AR520" s="17"/>
      <c r="AS520" s="120"/>
      <c r="AT520" s="120"/>
      <c r="AY520" s="1"/>
    </row>
    <row r="521" spans="42:51">
      <c r="AP521" s="17"/>
      <c r="AQ521" s="17"/>
      <c r="AR521" s="17"/>
      <c r="AS521" s="120"/>
      <c r="AT521" s="120"/>
      <c r="AY521" s="1"/>
    </row>
    <row r="522" spans="42:51">
      <c r="AP522" s="17"/>
      <c r="AQ522" s="17"/>
      <c r="AR522" s="17"/>
      <c r="AS522" s="120"/>
      <c r="AT522" s="120"/>
      <c r="AY522" s="1"/>
    </row>
    <row r="523" spans="42:51">
      <c r="AP523" s="17"/>
      <c r="AQ523" s="17"/>
      <c r="AR523" s="17"/>
      <c r="AS523" s="120"/>
      <c r="AT523" s="120"/>
      <c r="AY523" s="1"/>
    </row>
    <row r="524" spans="42:51">
      <c r="AP524" s="17"/>
      <c r="AQ524" s="17"/>
      <c r="AR524" s="17"/>
      <c r="AS524" s="120"/>
      <c r="AT524" s="120"/>
      <c r="AY524" s="1"/>
    </row>
    <row r="525" spans="42:51">
      <c r="AP525" s="17"/>
      <c r="AQ525" s="17"/>
      <c r="AR525" s="17"/>
      <c r="AS525" s="120"/>
      <c r="AT525" s="120"/>
      <c r="AY525" s="1"/>
    </row>
    <row r="526" spans="42:51">
      <c r="AP526" s="17"/>
      <c r="AQ526" s="17"/>
      <c r="AR526" s="17"/>
      <c r="AS526" s="120"/>
      <c r="AT526" s="120"/>
      <c r="AY526" s="1"/>
    </row>
    <row r="527" spans="42:51">
      <c r="AP527" s="17"/>
      <c r="AQ527" s="17"/>
      <c r="AR527" s="17"/>
      <c r="AS527" s="120"/>
      <c r="AT527" s="120"/>
      <c r="AY527" s="1"/>
    </row>
    <row r="528" spans="42:51">
      <c r="AP528" s="17"/>
      <c r="AQ528" s="17"/>
      <c r="AR528" s="17"/>
      <c r="AS528" s="120"/>
      <c r="AT528" s="120"/>
      <c r="AY528" s="1"/>
    </row>
    <row r="529" spans="42:51">
      <c r="AP529" s="17"/>
      <c r="AQ529" s="17"/>
      <c r="AR529" s="17"/>
      <c r="AS529" s="120"/>
      <c r="AT529" s="120"/>
      <c r="AY529" s="1"/>
    </row>
    <row r="530" spans="42:51">
      <c r="AP530" s="17"/>
      <c r="AQ530" s="17"/>
      <c r="AR530" s="17"/>
      <c r="AS530" s="120"/>
      <c r="AT530" s="120"/>
      <c r="AY530" s="1"/>
    </row>
    <row r="531" spans="42:51">
      <c r="AP531" s="17"/>
      <c r="AQ531" s="17"/>
      <c r="AR531" s="17"/>
      <c r="AS531" s="120"/>
      <c r="AT531" s="120"/>
      <c r="AY531" s="1"/>
    </row>
    <row r="532" spans="42:51">
      <c r="AP532" s="17"/>
      <c r="AQ532" s="17"/>
      <c r="AR532" s="17"/>
      <c r="AS532" s="120"/>
      <c r="AT532" s="120"/>
      <c r="AY532" s="1"/>
    </row>
    <row r="533" spans="42:51">
      <c r="AP533" s="17"/>
      <c r="AQ533" s="17"/>
      <c r="AR533" s="17"/>
      <c r="AS533" s="120"/>
      <c r="AT533" s="120"/>
      <c r="AY533" s="1"/>
    </row>
    <row r="534" spans="42:51">
      <c r="AP534" s="17"/>
      <c r="AQ534" s="17"/>
      <c r="AR534" s="17"/>
      <c r="AS534" s="120"/>
      <c r="AT534" s="120"/>
      <c r="AY534" s="1"/>
    </row>
    <row r="535" spans="42:51">
      <c r="AP535" s="17"/>
      <c r="AQ535" s="17"/>
      <c r="AR535" s="17"/>
      <c r="AS535" s="120"/>
      <c r="AT535" s="120"/>
      <c r="AY535" s="1"/>
    </row>
    <row r="536" spans="42:51">
      <c r="AP536" s="17"/>
      <c r="AQ536" s="17"/>
      <c r="AR536" s="17"/>
      <c r="AS536" s="120"/>
      <c r="AT536" s="120"/>
      <c r="AY536" s="1"/>
    </row>
    <row r="537" spans="42:51">
      <c r="AP537" s="17"/>
      <c r="AQ537" s="17"/>
      <c r="AR537" s="17"/>
      <c r="AS537" s="120"/>
      <c r="AT537" s="120"/>
      <c r="AY537" s="1"/>
    </row>
    <row r="538" spans="42:51">
      <c r="AP538" s="17"/>
      <c r="AQ538" s="17"/>
      <c r="AR538" s="17"/>
      <c r="AS538" s="120"/>
      <c r="AT538" s="120"/>
      <c r="AY538" s="1"/>
    </row>
    <row r="539" spans="42:51">
      <c r="AP539" s="17"/>
      <c r="AQ539" s="17"/>
      <c r="AR539" s="17"/>
      <c r="AS539" s="120"/>
      <c r="AT539" s="120"/>
      <c r="AY539" s="1"/>
    </row>
    <row r="540" spans="42:51">
      <c r="AP540" s="17"/>
      <c r="AQ540" s="17"/>
      <c r="AR540" s="17"/>
      <c r="AS540" s="120"/>
      <c r="AT540" s="120"/>
      <c r="AY540" s="1"/>
    </row>
    <row r="541" spans="42:51">
      <c r="AP541" s="17"/>
      <c r="AQ541" s="17"/>
      <c r="AR541" s="17"/>
      <c r="AS541" s="120"/>
      <c r="AT541" s="120"/>
      <c r="AY541" s="1"/>
    </row>
    <row r="542" spans="42:51">
      <c r="AP542" s="17"/>
      <c r="AQ542" s="17"/>
      <c r="AR542" s="17"/>
      <c r="AS542" s="120"/>
      <c r="AT542" s="120"/>
      <c r="AY542" s="1"/>
    </row>
    <row r="543" spans="42:51">
      <c r="AP543" s="17"/>
      <c r="AQ543" s="17"/>
      <c r="AR543" s="17"/>
      <c r="AS543" s="120"/>
      <c r="AT543" s="120"/>
      <c r="AY543" s="1"/>
    </row>
    <row r="544" spans="42:51">
      <c r="AP544" s="17"/>
      <c r="AQ544" s="17"/>
      <c r="AR544" s="17"/>
      <c r="AS544" s="120"/>
      <c r="AT544" s="120"/>
      <c r="AY544" s="1"/>
    </row>
    <row r="545" spans="42:51">
      <c r="AP545" s="17"/>
      <c r="AQ545" s="17"/>
      <c r="AR545" s="17"/>
      <c r="AS545" s="120"/>
      <c r="AT545" s="120"/>
      <c r="AY545" s="1"/>
    </row>
    <row r="546" spans="42:51">
      <c r="AP546" s="17"/>
      <c r="AQ546" s="17"/>
      <c r="AR546" s="17"/>
      <c r="AS546" s="120"/>
      <c r="AT546" s="120"/>
      <c r="AY546" s="1"/>
    </row>
    <row r="547" spans="42:51">
      <c r="AP547" s="17"/>
      <c r="AQ547" s="17"/>
      <c r="AR547" s="17"/>
      <c r="AS547" s="120"/>
      <c r="AT547" s="120"/>
      <c r="AY547" s="1"/>
    </row>
    <row r="548" spans="42:51">
      <c r="AP548" s="17"/>
      <c r="AQ548" s="17"/>
      <c r="AR548" s="17"/>
      <c r="AS548" s="120"/>
      <c r="AT548" s="120"/>
      <c r="AY548" s="1"/>
    </row>
    <row r="549" spans="42:51">
      <c r="AP549" s="17"/>
      <c r="AQ549" s="17"/>
      <c r="AR549" s="17"/>
      <c r="AS549" s="120"/>
      <c r="AT549" s="120"/>
      <c r="AY549" s="1"/>
    </row>
    <row r="550" spans="42:51">
      <c r="AP550" s="17"/>
      <c r="AQ550" s="17"/>
      <c r="AR550" s="17"/>
      <c r="AS550" s="120"/>
      <c r="AT550" s="120"/>
      <c r="AY550" s="1"/>
    </row>
    <row r="551" spans="42:51">
      <c r="AP551" s="17"/>
      <c r="AQ551" s="17"/>
      <c r="AR551" s="17"/>
      <c r="AS551" s="120"/>
      <c r="AT551" s="120"/>
      <c r="AY551" s="1"/>
    </row>
    <row r="552" spans="42:51">
      <c r="AP552" s="17"/>
      <c r="AQ552" s="17"/>
      <c r="AR552" s="17"/>
      <c r="AS552" s="120"/>
      <c r="AT552" s="120"/>
      <c r="AY552" s="1"/>
    </row>
    <row r="553" spans="42:51">
      <c r="AP553" s="17"/>
      <c r="AQ553" s="17"/>
      <c r="AR553" s="17"/>
      <c r="AS553" s="120"/>
      <c r="AT553" s="120"/>
      <c r="AY553" s="1"/>
    </row>
    <row r="554" spans="42:51">
      <c r="AP554" s="17"/>
      <c r="AQ554" s="17"/>
      <c r="AR554" s="17"/>
      <c r="AS554" s="120"/>
      <c r="AT554" s="120"/>
      <c r="AY554" s="1"/>
    </row>
    <row r="555" spans="42:51">
      <c r="AP555" s="17"/>
      <c r="AQ555" s="17"/>
      <c r="AR555" s="17"/>
      <c r="AS555" s="120"/>
      <c r="AT555" s="120"/>
      <c r="AY555" s="1"/>
    </row>
    <row r="556" spans="42:51">
      <c r="AP556" s="17"/>
      <c r="AQ556" s="17"/>
      <c r="AR556" s="17"/>
      <c r="AS556" s="120"/>
      <c r="AT556" s="120"/>
      <c r="AY556" s="1"/>
    </row>
    <row r="557" spans="42:51">
      <c r="AP557" s="17"/>
      <c r="AQ557" s="17"/>
      <c r="AR557" s="17"/>
      <c r="AS557" s="120"/>
      <c r="AT557" s="120"/>
      <c r="AY557" s="1"/>
    </row>
    <row r="558" spans="42:51">
      <c r="AP558" s="17"/>
      <c r="AQ558" s="17"/>
      <c r="AR558" s="17"/>
      <c r="AS558" s="120"/>
      <c r="AT558" s="120"/>
      <c r="AY558" s="1"/>
    </row>
    <row r="559" spans="42:51">
      <c r="AP559" s="17"/>
      <c r="AQ559" s="17"/>
      <c r="AR559" s="17"/>
      <c r="AS559" s="120"/>
      <c r="AT559" s="120"/>
      <c r="AY559" s="1"/>
    </row>
    <row r="560" spans="42:51">
      <c r="AP560" s="17"/>
      <c r="AQ560" s="17"/>
      <c r="AR560" s="17"/>
      <c r="AS560" s="120"/>
      <c r="AT560" s="120"/>
      <c r="AY560" s="1"/>
    </row>
    <row r="561" spans="42:51">
      <c r="AP561" s="17"/>
      <c r="AQ561" s="17"/>
      <c r="AR561" s="17"/>
      <c r="AS561" s="120"/>
      <c r="AT561" s="120"/>
      <c r="AY561" s="1"/>
    </row>
    <row r="562" spans="42:51">
      <c r="AP562" s="17"/>
      <c r="AQ562" s="17"/>
      <c r="AR562" s="17"/>
      <c r="AS562" s="120"/>
      <c r="AT562" s="120"/>
      <c r="AY562" s="1"/>
    </row>
    <row r="563" spans="42:51">
      <c r="AP563" s="17"/>
      <c r="AQ563" s="17"/>
      <c r="AR563" s="17"/>
      <c r="AS563" s="120"/>
      <c r="AT563" s="120"/>
      <c r="AY563" s="1"/>
    </row>
    <row r="564" spans="42:51">
      <c r="AP564" s="17"/>
      <c r="AQ564" s="17"/>
      <c r="AR564" s="17"/>
      <c r="AS564" s="120"/>
      <c r="AT564" s="120"/>
      <c r="AY564" s="1"/>
    </row>
    <row r="565" spans="42:51">
      <c r="AP565" s="17"/>
      <c r="AQ565" s="17"/>
      <c r="AR565" s="17"/>
      <c r="AS565" s="120"/>
      <c r="AT565" s="120"/>
      <c r="AY565" s="1"/>
    </row>
    <row r="566" spans="42:51">
      <c r="AP566" s="17"/>
      <c r="AQ566" s="17"/>
      <c r="AR566" s="17"/>
      <c r="AS566" s="120"/>
      <c r="AT566" s="120"/>
      <c r="AY566" s="1"/>
    </row>
    <row r="567" spans="42:51">
      <c r="AP567" s="17"/>
      <c r="AQ567" s="17"/>
      <c r="AR567" s="17"/>
      <c r="AS567" s="120"/>
      <c r="AT567" s="120"/>
      <c r="AY567" s="1"/>
    </row>
    <row r="568" spans="42:51">
      <c r="AP568" s="17"/>
      <c r="AQ568" s="17"/>
      <c r="AR568" s="17"/>
      <c r="AS568" s="120"/>
      <c r="AT568" s="120"/>
      <c r="AY568" s="1"/>
    </row>
    <row r="569" spans="42:51">
      <c r="AP569" s="17"/>
      <c r="AQ569" s="17"/>
      <c r="AR569" s="17"/>
      <c r="AS569" s="120"/>
      <c r="AT569" s="120"/>
      <c r="AY569" s="1"/>
    </row>
    <row r="570" spans="42:51">
      <c r="AP570" s="17"/>
      <c r="AQ570" s="17"/>
      <c r="AR570" s="17"/>
      <c r="AS570" s="120"/>
      <c r="AT570" s="120"/>
      <c r="AY570" s="1"/>
    </row>
    <row r="571" spans="42:51">
      <c r="AP571" s="17"/>
      <c r="AQ571" s="17"/>
      <c r="AR571" s="17"/>
      <c r="AS571" s="120"/>
      <c r="AT571" s="120"/>
      <c r="AY571" s="1"/>
    </row>
    <row r="572" spans="42:51">
      <c r="AP572" s="17"/>
      <c r="AQ572" s="17"/>
      <c r="AR572" s="17"/>
      <c r="AS572" s="120"/>
      <c r="AT572" s="120"/>
      <c r="AY572" s="1"/>
    </row>
    <row r="573" spans="42:51">
      <c r="AP573" s="17"/>
      <c r="AQ573" s="17"/>
      <c r="AR573" s="17"/>
      <c r="AS573" s="120"/>
      <c r="AT573" s="120"/>
      <c r="AY573" s="1"/>
    </row>
    <row r="574" spans="42:51">
      <c r="AP574" s="17"/>
      <c r="AQ574" s="17"/>
      <c r="AR574" s="17"/>
      <c r="AS574" s="120"/>
      <c r="AT574" s="120"/>
      <c r="AY574" s="1"/>
    </row>
    <row r="575" spans="42:51">
      <c r="AP575" s="17"/>
      <c r="AQ575" s="17"/>
      <c r="AR575" s="17"/>
      <c r="AS575" s="120"/>
      <c r="AT575" s="120"/>
      <c r="AY575" s="1"/>
    </row>
    <row r="576" spans="42:51">
      <c r="AP576" s="17"/>
      <c r="AQ576" s="17"/>
      <c r="AR576" s="17"/>
      <c r="AS576" s="120"/>
      <c r="AT576" s="120"/>
      <c r="AY576" s="1"/>
    </row>
    <row r="577" spans="42:51">
      <c r="AP577" s="17"/>
      <c r="AQ577" s="17"/>
      <c r="AR577" s="17"/>
      <c r="AS577" s="120"/>
      <c r="AT577" s="120"/>
      <c r="AY577" s="1"/>
    </row>
    <row r="578" spans="42:51">
      <c r="AP578" s="17"/>
      <c r="AQ578" s="17"/>
      <c r="AR578" s="17"/>
      <c r="AS578" s="120"/>
      <c r="AT578" s="120"/>
      <c r="AY578" s="1"/>
    </row>
    <row r="579" spans="42:51">
      <c r="AP579" s="17"/>
      <c r="AQ579" s="17"/>
      <c r="AR579" s="17"/>
      <c r="AS579" s="120"/>
      <c r="AT579" s="120"/>
      <c r="AY579" s="1"/>
    </row>
    <row r="580" spans="42:51">
      <c r="AP580" s="17"/>
      <c r="AQ580" s="17"/>
      <c r="AR580" s="17"/>
      <c r="AS580" s="120"/>
      <c r="AT580" s="120"/>
      <c r="AY580" s="1"/>
    </row>
    <row r="581" spans="42:51">
      <c r="AP581" s="17"/>
      <c r="AQ581" s="17"/>
      <c r="AR581" s="17"/>
      <c r="AS581" s="120"/>
      <c r="AT581" s="120"/>
      <c r="AY581" s="1"/>
    </row>
    <row r="582" spans="42:51">
      <c r="AP582" s="17"/>
      <c r="AQ582" s="17"/>
      <c r="AR582" s="17"/>
      <c r="AS582" s="120"/>
      <c r="AT582" s="120"/>
      <c r="AY582" s="1"/>
    </row>
    <row r="583" spans="42:51">
      <c r="AP583" s="17"/>
      <c r="AQ583" s="17"/>
      <c r="AR583" s="17"/>
      <c r="AS583" s="120"/>
      <c r="AT583" s="120"/>
      <c r="AY583" s="1"/>
    </row>
    <row r="584" spans="42:51">
      <c r="AP584" s="17"/>
      <c r="AQ584" s="17"/>
      <c r="AR584" s="17"/>
      <c r="AS584" s="120"/>
      <c r="AT584" s="120"/>
      <c r="AY584" s="1"/>
    </row>
    <row r="585" spans="42:51">
      <c r="AP585" s="17"/>
      <c r="AQ585" s="17"/>
      <c r="AR585" s="17"/>
      <c r="AS585" s="120"/>
      <c r="AT585" s="120"/>
      <c r="AY585" s="1"/>
    </row>
    <row r="586" spans="42:51">
      <c r="AP586" s="17"/>
      <c r="AQ586" s="17"/>
      <c r="AR586" s="17"/>
      <c r="AS586" s="120"/>
      <c r="AT586" s="120"/>
      <c r="AY586" s="1"/>
    </row>
    <row r="587" spans="42:51">
      <c r="AP587" s="17"/>
      <c r="AQ587" s="17"/>
      <c r="AR587" s="17"/>
      <c r="AS587" s="120"/>
      <c r="AT587" s="120"/>
      <c r="AY587" s="1"/>
    </row>
    <row r="588" spans="42:51">
      <c r="AP588" s="17"/>
      <c r="AQ588" s="17"/>
      <c r="AR588" s="17"/>
      <c r="AS588" s="120"/>
      <c r="AT588" s="120"/>
      <c r="AY588" s="1"/>
    </row>
    <row r="589" spans="42:51">
      <c r="AP589" s="17"/>
      <c r="AQ589" s="17"/>
      <c r="AR589" s="17"/>
      <c r="AS589" s="120"/>
      <c r="AT589" s="120"/>
      <c r="AY589" s="1"/>
    </row>
    <row r="590" spans="42:51">
      <c r="AP590" s="17"/>
      <c r="AQ590" s="17"/>
      <c r="AR590" s="17"/>
      <c r="AS590" s="120"/>
      <c r="AT590" s="120"/>
      <c r="AY590" s="1"/>
    </row>
    <row r="591" spans="42:51">
      <c r="AP591" s="17"/>
      <c r="AQ591" s="17"/>
      <c r="AR591" s="17"/>
      <c r="AS591" s="120"/>
      <c r="AT591" s="120"/>
      <c r="AY591" s="1"/>
    </row>
    <row r="592" spans="42:51">
      <c r="AP592" s="17"/>
      <c r="AQ592" s="17"/>
      <c r="AR592" s="17"/>
      <c r="AS592" s="120"/>
      <c r="AT592" s="120"/>
      <c r="AY592" s="1"/>
    </row>
    <row r="593" spans="42:51">
      <c r="AP593" s="17"/>
      <c r="AQ593" s="17"/>
      <c r="AR593" s="17"/>
      <c r="AS593" s="120"/>
      <c r="AT593" s="120"/>
      <c r="AY593" s="1"/>
    </row>
    <row r="594" spans="42:51">
      <c r="AP594" s="17"/>
      <c r="AQ594" s="17"/>
      <c r="AR594" s="17"/>
      <c r="AS594" s="120"/>
      <c r="AT594" s="120"/>
      <c r="AY594" s="1"/>
    </row>
    <row r="595" spans="42:51">
      <c r="AP595" s="17"/>
      <c r="AQ595" s="17"/>
      <c r="AR595" s="17"/>
      <c r="AS595" s="120"/>
      <c r="AT595" s="120"/>
      <c r="AY595" s="1"/>
    </row>
    <row r="596" spans="42:51">
      <c r="AP596" s="17"/>
      <c r="AQ596" s="17"/>
      <c r="AR596" s="17"/>
      <c r="AS596" s="120"/>
      <c r="AT596" s="120"/>
      <c r="AY596" s="1"/>
    </row>
    <row r="597" spans="42:51">
      <c r="AP597" s="17"/>
      <c r="AQ597" s="17"/>
      <c r="AR597" s="17"/>
      <c r="AS597" s="120"/>
      <c r="AT597" s="120"/>
      <c r="AY597" s="1"/>
    </row>
    <row r="598" spans="42:51">
      <c r="AP598" s="17"/>
      <c r="AQ598" s="17"/>
      <c r="AR598" s="17"/>
      <c r="AS598" s="120"/>
      <c r="AT598" s="120"/>
      <c r="AY598" s="1"/>
    </row>
    <row r="599" spans="42:51">
      <c r="AP599" s="17"/>
      <c r="AQ599" s="17"/>
      <c r="AR599" s="17"/>
      <c r="AS599" s="120"/>
      <c r="AT599" s="120"/>
      <c r="AY599" s="1"/>
    </row>
    <row r="600" spans="42:51">
      <c r="AP600" s="17"/>
      <c r="AQ600" s="17"/>
      <c r="AR600" s="17"/>
      <c r="AS600" s="120"/>
      <c r="AT600" s="120"/>
      <c r="AY600" s="1"/>
    </row>
    <row r="601" spans="42:51">
      <c r="AP601" s="17"/>
      <c r="AQ601" s="17"/>
      <c r="AR601" s="17"/>
      <c r="AS601" s="120"/>
      <c r="AT601" s="120"/>
      <c r="AY601" s="1"/>
    </row>
    <row r="602" spans="42:51">
      <c r="AP602" s="17"/>
      <c r="AQ602" s="17"/>
      <c r="AR602" s="17"/>
      <c r="AS602" s="120"/>
      <c r="AT602" s="120"/>
      <c r="AY602" s="1"/>
    </row>
    <row r="603" spans="42:51">
      <c r="AP603" s="17"/>
      <c r="AQ603" s="17"/>
      <c r="AR603" s="17"/>
      <c r="AS603" s="120"/>
      <c r="AT603" s="120"/>
      <c r="AY603" s="1"/>
    </row>
    <row r="604" spans="42:51">
      <c r="AP604" s="17"/>
      <c r="AQ604" s="17"/>
      <c r="AR604" s="17"/>
      <c r="AS604" s="120"/>
      <c r="AT604" s="120"/>
      <c r="AY604" s="1"/>
    </row>
    <row r="605" spans="42:51">
      <c r="AP605" s="17"/>
      <c r="AQ605" s="17"/>
      <c r="AR605" s="17"/>
      <c r="AS605" s="120"/>
      <c r="AT605" s="120"/>
      <c r="AY605" s="1"/>
    </row>
    <row r="606" spans="42:51">
      <c r="AP606" s="17"/>
      <c r="AQ606" s="17"/>
      <c r="AR606" s="17"/>
      <c r="AS606" s="120"/>
      <c r="AT606" s="120"/>
      <c r="AY606" s="1"/>
    </row>
    <row r="607" spans="42:51">
      <c r="AP607" s="17"/>
      <c r="AQ607" s="17"/>
      <c r="AR607" s="17"/>
      <c r="AS607" s="120"/>
      <c r="AT607" s="120"/>
      <c r="AY607" s="1"/>
    </row>
    <row r="608" spans="42:51">
      <c r="AP608" s="17"/>
      <c r="AQ608" s="17"/>
      <c r="AR608" s="17"/>
      <c r="AS608" s="120"/>
      <c r="AT608" s="120"/>
      <c r="AY608" s="1"/>
    </row>
    <row r="609" spans="42:51">
      <c r="AP609" s="17"/>
      <c r="AQ609" s="17"/>
      <c r="AR609" s="17"/>
      <c r="AS609" s="120"/>
      <c r="AT609" s="120"/>
      <c r="AY609" s="1"/>
    </row>
    <row r="610" spans="42:51">
      <c r="AP610" s="17"/>
      <c r="AQ610" s="17"/>
      <c r="AR610" s="17"/>
      <c r="AS610" s="120"/>
      <c r="AT610" s="120"/>
      <c r="AY610" s="1"/>
    </row>
    <row r="611" spans="42:51">
      <c r="AP611" s="17"/>
      <c r="AQ611" s="17"/>
      <c r="AR611" s="17"/>
      <c r="AS611" s="120"/>
      <c r="AT611" s="120"/>
      <c r="AY611" s="1"/>
    </row>
    <row r="612" spans="42:51">
      <c r="AP612" s="17"/>
      <c r="AQ612" s="17"/>
      <c r="AR612" s="17"/>
      <c r="AS612" s="120"/>
      <c r="AT612" s="120"/>
      <c r="AY612" s="1"/>
    </row>
    <row r="613" spans="42:51">
      <c r="AP613" s="17"/>
      <c r="AQ613" s="17"/>
      <c r="AR613" s="17"/>
      <c r="AS613" s="120"/>
      <c r="AT613" s="120"/>
      <c r="AY613" s="1"/>
    </row>
    <row r="614" spans="42:51">
      <c r="AP614" s="17"/>
      <c r="AQ614" s="17"/>
      <c r="AR614" s="17"/>
      <c r="AS614" s="120"/>
      <c r="AT614" s="120"/>
      <c r="AY614" s="1"/>
    </row>
    <row r="615" spans="42:51">
      <c r="AP615" s="17"/>
      <c r="AQ615" s="17"/>
      <c r="AR615" s="17"/>
      <c r="AS615" s="120"/>
      <c r="AT615" s="120"/>
      <c r="AY615" s="1"/>
    </row>
    <row r="616" spans="42:51">
      <c r="AP616" s="17"/>
      <c r="AQ616" s="17"/>
      <c r="AR616" s="17"/>
      <c r="AS616" s="120"/>
      <c r="AT616" s="120"/>
      <c r="AY616" s="1"/>
    </row>
    <row r="617" spans="42:51">
      <c r="AP617" s="17"/>
      <c r="AQ617" s="17"/>
      <c r="AR617" s="17"/>
      <c r="AS617" s="120"/>
      <c r="AT617" s="120"/>
      <c r="AY617" s="1"/>
    </row>
    <row r="618" spans="42:51">
      <c r="AP618" s="17"/>
      <c r="AQ618" s="17"/>
      <c r="AR618" s="17"/>
      <c r="AS618" s="120"/>
      <c r="AT618" s="120"/>
      <c r="AY618" s="1"/>
    </row>
    <row r="619" spans="42:51">
      <c r="AP619" s="17"/>
      <c r="AQ619" s="17"/>
      <c r="AR619" s="17"/>
      <c r="AS619" s="120"/>
      <c r="AT619" s="120"/>
      <c r="AY619" s="1"/>
    </row>
    <row r="620" spans="42:51">
      <c r="AP620" s="17"/>
      <c r="AQ620" s="17"/>
      <c r="AR620" s="17"/>
      <c r="AS620" s="120"/>
      <c r="AT620" s="120"/>
      <c r="AY620" s="1"/>
    </row>
    <row r="621" spans="42:51">
      <c r="AP621" s="17"/>
      <c r="AQ621" s="17"/>
      <c r="AR621" s="17"/>
      <c r="AS621" s="120"/>
      <c r="AT621" s="120"/>
      <c r="AY621" s="1"/>
    </row>
    <row r="622" spans="42:51">
      <c r="AP622" s="17"/>
      <c r="AQ622" s="17"/>
      <c r="AR622" s="17"/>
      <c r="AS622" s="120"/>
      <c r="AT622" s="120"/>
      <c r="AY622" s="1"/>
    </row>
    <row r="623" spans="42:51">
      <c r="AP623" s="17"/>
      <c r="AQ623" s="17"/>
      <c r="AR623" s="17"/>
      <c r="AS623" s="120"/>
      <c r="AT623" s="120"/>
      <c r="AY623" s="1"/>
    </row>
    <row r="624" spans="42:51">
      <c r="AP624" s="17"/>
      <c r="AQ624" s="17"/>
      <c r="AR624" s="17"/>
      <c r="AS624" s="120"/>
      <c r="AT624" s="120"/>
      <c r="AY624" s="1"/>
    </row>
    <row r="625" spans="42:51">
      <c r="AP625" s="17"/>
      <c r="AQ625" s="17"/>
      <c r="AR625" s="17"/>
      <c r="AS625" s="120"/>
      <c r="AT625" s="120"/>
      <c r="AY625" s="1"/>
    </row>
    <row r="626" spans="42:51">
      <c r="AP626" s="17"/>
      <c r="AQ626" s="17"/>
      <c r="AR626" s="17"/>
      <c r="AS626" s="120"/>
      <c r="AT626" s="120"/>
      <c r="AY626" s="1"/>
    </row>
    <row r="627" spans="42:51">
      <c r="AP627" s="17"/>
      <c r="AQ627" s="17"/>
      <c r="AR627" s="17"/>
      <c r="AS627" s="120"/>
      <c r="AT627" s="120"/>
      <c r="AY627" s="1"/>
    </row>
    <row r="628" spans="42:51">
      <c r="AP628" s="17"/>
      <c r="AQ628" s="17"/>
      <c r="AR628" s="17"/>
      <c r="AS628" s="120"/>
      <c r="AT628" s="120"/>
      <c r="AY628" s="1"/>
    </row>
    <row r="629" spans="42:51">
      <c r="AP629" s="17"/>
      <c r="AQ629" s="17"/>
      <c r="AR629" s="17"/>
      <c r="AS629" s="120"/>
      <c r="AT629" s="120"/>
      <c r="AY629" s="1"/>
    </row>
    <row r="630" spans="42:51">
      <c r="AP630" s="17"/>
      <c r="AQ630" s="17"/>
      <c r="AR630" s="17"/>
      <c r="AS630" s="120"/>
      <c r="AT630" s="120"/>
      <c r="AY630" s="1"/>
    </row>
    <row r="631" spans="42:51">
      <c r="AP631" s="17"/>
      <c r="AQ631" s="17"/>
      <c r="AR631" s="17"/>
      <c r="AS631" s="120"/>
      <c r="AT631" s="120"/>
      <c r="AY631" s="1"/>
    </row>
    <row r="632" spans="42:51">
      <c r="AP632" s="17"/>
      <c r="AQ632" s="17"/>
      <c r="AR632" s="17"/>
      <c r="AS632" s="120"/>
      <c r="AT632" s="120"/>
      <c r="AY632" s="1"/>
    </row>
    <row r="633" spans="42:51">
      <c r="AP633" s="17"/>
      <c r="AQ633" s="17"/>
      <c r="AR633" s="17"/>
      <c r="AS633" s="120"/>
      <c r="AT633" s="120"/>
      <c r="AY633" s="1"/>
    </row>
    <row r="634" spans="42:51">
      <c r="AP634" s="17"/>
      <c r="AQ634" s="17"/>
      <c r="AR634" s="17"/>
      <c r="AS634" s="120"/>
      <c r="AT634" s="120"/>
      <c r="AY634" s="1"/>
    </row>
    <row r="635" spans="42:51">
      <c r="AP635" s="17"/>
      <c r="AQ635" s="17"/>
      <c r="AR635" s="17"/>
      <c r="AS635" s="120"/>
      <c r="AT635" s="120"/>
      <c r="AY635" s="1"/>
    </row>
    <row r="636" spans="42:51">
      <c r="AP636" s="17"/>
      <c r="AQ636" s="17"/>
      <c r="AR636" s="17"/>
      <c r="AS636" s="120"/>
      <c r="AT636" s="120"/>
      <c r="AY636" s="1"/>
    </row>
    <row r="637" spans="42:51">
      <c r="AP637" s="17"/>
      <c r="AQ637" s="17"/>
      <c r="AR637" s="17"/>
      <c r="AS637" s="120"/>
      <c r="AT637" s="120"/>
      <c r="AY637" s="1"/>
    </row>
    <row r="638" spans="42:51">
      <c r="AP638" s="17"/>
      <c r="AQ638" s="17"/>
      <c r="AR638" s="17"/>
      <c r="AS638" s="120"/>
      <c r="AT638" s="120"/>
      <c r="AY638" s="1"/>
    </row>
    <row r="639" spans="42:51">
      <c r="AP639" s="17"/>
      <c r="AQ639" s="17"/>
      <c r="AR639" s="17"/>
      <c r="AS639" s="120"/>
      <c r="AT639" s="120"/>
      <c r="AY639" s="1"/>
    </row>
    <row r="640" spans="42:51">
      <c r="AP640" s="17"/>
      <c r="AQ640" s="17"/>
      <c r="AR640" s="17"/>
      <c r="AS640" s="120"/>
      <c r="AT640" s="120"/>
      <c r="AY640" s="1"/>
    </row>
    <row r="641" spans="42:51">
      <c r="AP641" s="17"/>
      <c r="AQ641" s="17"/>
      <c r="AR641" s="17"/>
      <c r="AS641" s="120"/>
      <c r="AT641" s="120"/>
      <c r="AY641" s="1"/>
    </row>
    <row r="642" spans="42:51">
      <c r="AP642" s="17"/>
      <c r="AQ642" s="17"/>
      <c r="AR642" s="17"/>
      <c r="AS642" s="120"/>
      <c r="AT642" s="120"/>
      <c r="AY642" s="1"/>
    </row>
    <row r="643" spans="42:51">
      <c r="AP643" s="17"/>
      <c r="AQ643" s="17"/>
      <c r="AR643" s="17"/>
      <c r="AS643" s="120"/>
      <c r="AT643" s="120"/>
      <c r="AY643" s="1"/>
    </row>
    <row r="644" spans="42:51">
      <c r="AP644" s="17"/>
      <c r="AQ644" s="17"/>
      <c r="AR644" s="17"/>
      <c r="AS644" s="120"/>
      <c r="AT644" s="120"/>
      <c r="AY644" s="1"/>
    </row>
    <row r="645" spans="42:51">
      <c r="AP645" s="17"/>
      <c r="AQ645" s="17"/>
      <c r="AR645" s="17"/>
      <c r="AS645" s="120"/>
      <c r="AT645" s="120"/>
      <c r="AY645" s="1"/>
    </row>
    <row r="646" spans="42:51">
      <c r="AP646" s="17"/>
      <c r="AQ646" s="17"/>
      <c r="AR646" s="17"/>
      <c r="AS646" s="120"/>
      <c r="AT646" s="120"/>
      <c r="AY646" s="1"/>
    </row>
    <row r="647" spans="42:51">
      <c r="AP647" s="17"/>
      <c r="AQ647" s="17"/>
      <c r="AR647" s="17"/>
      <c r="AS647" s="120"/>
      <c r="AT647" s="120"/>
      <c r="AY647" s="1"/>
    </row>
    <row r="648" spans="42:51">
      <c r="AP648" s="17"/>
      <c r="AQ648" s="17"/>
      <c r="AR648" s="17"/>
      <c r="AS648" s="120"/>
      <c r="AT648" s="120"/>
      <c r="AY648" s="1"/>
    </row>
    <row r="649" spans="42:51">
      <c r="AP649" s="17"/>
      <c r="AQ649" s="17"/>
      <c r="AR649" s="17"/>
      <c r="AS649" s="120"/>
      <c r="AT649" s="120"/>
      <c r="AY649" s="1"/>
    </row>
    <row r="650" spans="42:51">
      <c r="AP650" s="17"/>
      <c r="AQ650" s="17"/>
      <c r="AR650" s="17"/>
      <c r="AS650" s="120"/>
      <c r="AT650" s="120"/>
      <c r="AY650" s="1"/>
    </row>
    <row r="651" spans="42:51">
      <c r="AP651" s="17"/>
      <c r="AQ651" s="17"/>
      <c r="AR651" s="17"/>
      <c r="AS651" s="120"/>
      <c r="AT651" s="120"/>
      <c r="AY651" s="1"/>
    </row>
    <row r="652" spans="42:51">
      <c r="AP652" s="17"/>
      <c r="AQ652" s="17"/>
      <c r="AR652" s="17"/>
      <c r="AS652" s="120"/>
      <c r="AT652" s="120"/>
      <c r="AY652" s="1"/>
    </row>
    <row r="653" spans="42:51">
      <c r="AP653" s="17"/>
      <c r="AQ653" s="17"/>
      <c r="AR653" s="17"/>
      <c r="AS653" s="120"/>
      <c r="AT653" s="120"/>
      <c r="AY653" s="1"/>
    </row>
    <row r="654" spans="42:51">
      <c r="AP654" s="17"/>
      <c r="AQ654" s="17"/>
      <c r="AR654" s="17"/>
      <c r="AS654" s="120"/>
      <c r="AT654" s="120"/>
      <c r="AY654" s="1"/>
    </row>
    <row r="655" spans="42:51">
      <c r="AP655" s="17"/>
      <c r="AQ655" s="17"/>
      <c r="AR655" s="17"/>
      <c r="AS655" s="120"/>
      <c r="AT655" s="120"/>
      <c r="AY655" s="1"/>
    </row>
    <row r="656" spans="42:51">
      <c r="AP656" s="17"/>
      <c r="AQ656" s="17"/>
      <c r="AR656" s="17"/>
      <c r="AS656" s="120"/>
      <c r="AT656" s="120"/>
      <c r="AY656" s="1"/>
    </row>
    <row r="657" spans="42:51">
      <c r="AP657" s="17"/>
      <c r="AQ657" s="17"/>
      <c r="AR657" s="17"/>
      <c r="AS657" s="120"/>
      <c r="AT657" s="120"/>
      <c r="AY657" s="1"/>
    </row>
    <row r="658" spans="42:51">
      <c r="AP658" s="17"/>
      <c r="AQ658" s="17"/>
      <c r="AR658" s="17"/>
      <c r="AS658" s="120"/>
      <c r="AT658" s="120"/>
      <c r="AY658" s="1"/>
    </row>
    <row r="659" spans="42:51">
      <c r="AP659" s="17"/>
      <c r="AQ659" s="17"/>
      <c r="AR659" s="17"/>
      <c r="AS659" s="120"/>
      <c r="AT659" s="120"/>
      <c r="AY659" s="1"/>
    </row>
    <row r="660" spans="42:51">
      <c r="AP660" s="17"/>
      <c r="AQ660" s="17"/>
      <c r="AR660" s="17"/>
      <c r="AS660" s="120"/>
      <c r="AT660" s="120"/>
      <c r="AY660" s="1"/>
    </row>
    <row r="661" spans="42:51">
      <c r="AP661" s="17"/>
      <c r="AQ661" s="17"/>
      <c r="AR661" s="17"/>
      <c r="AS661" s="120"/>
      <c r="AT661" s="120"/>
      <c r="AY661" s="1"/>
    </row>
    <row r="662" spans="42:51">
      <c r="AP662" s="17"/>
      <c r="AQ662" s="17"/>
      <c r="AR662" s="17"/>
      <c r="AS662" s="120"/>
      <c r="AT662" s="120"/>
      <c r="AY662" s="1"/>
    </row>
    <row r="663" spans="42:51">
      <c r="AP663" s="17"/>
      <c r="AQ663" s="17"/>
      <c r="AR663" s="17"/>
      <c r="AS663" s="120"/>
      <c r="AT663" s="120"/>
      <c r="AY663" s="1"/>
    </row>
    <row r="664" spans="42:51">
      <c r="AP664" s="17"/>
      <c r="AQ664" s="17"/>
      <c r="AR664" s="17"/>
      <c r="AS664" s="120"/>
      <c r="AT664" s="120"/>
      <c r="AY664" s="1"/>
    </row>
    <row r="665" spans="42:51">
      <c r="AP665" s="17"/>
      <c r="AQ665" s="17"/>
      <c r="AR665" s="17"/>
      <c r="AS665" s="120"/>
      <c r="AT665" s="120"/>
      <c r="AY665" s="1"/>
    </row>
    <row r="666" spans="42:51">
      <c r="AP666" s="17"/>
      <c r="AQ666" s="17"/>
      <c r="AR666" s="17"/>
      <c r="AS666" s="120"/>
      <c r="AT666" s="120"/>
      <c r="AY666" s="1"/>
    </row>
    <row r="667" spans="42:51">
      <c r="AP667" s="17"/>
      <c r="AQ667" s="17"/>
      <c r="AR667" s="17"/>
      <c r="AS667" s="120"/>
      <c r="AT667" s="120"/>
      <c r="AY667" s="1"/>
    </row>
    <row r="668" spans="42:51">
      <c r="AP668" s="17"/>
      <c r="AQ668" s="17"/>
      <c r="AR668" s="17"/>
      <c r="AS668" s="120"/>
      <c r="AT668" s="120"/>
      <c r="AY668" s="1"/>
    </row>
    <row r="669" spans="42:51">
      <c r="AP669" s="17"/>
      <c r="AQ669" s="17"/>
      <c r="AR669" s="17"/>
      <c r="AS669" s="120"/>
      <c r="AT669" s="120"/>
      <c r="AY669" s="1"/>
    </row>
    <row r="670" spans="42:51">
      <c r="AP670" s="17"/>
      <c r="AQ670" s="17"/>
      <c r="AR670" s="17"/>
      <c r="AS670" s="120"/>
      <c r="AT670" s="120"/>
      <c r="AY670" s="1"/>
    </row>
    <row r="671" spans="42:51">
      <c r="AP671" s="17"/>
      <c r="AQ671" s="17"/>
      <c r="AR671" s="17"/>
      <c r="AS671" s="120"/>
      <c r="AT671" s="120"/>
      <c r="AY671" s="1"/>
    </row>
    <row r="672" spans="42:51">
      <c r="AP672" s="17"/>
      <c r="AQ672" s="17"/>
      <c r="AR672" s="17"/>
      <c r="AS672" s="120"/>
      <c r="AT672" s="120"/>
      <c r="AY672" s="1"/>
    </row>
    <row r="673" spans="42:51">
      <c r="AP673" s="17"/>
      <c r="AQ673" s="17"/>
      <c r="AR673" s="17"/>
      <c r="AS673" s="120"/>
      <c r="AT673" s="120"/>
      <c r="AY673" s="1"/>
    </row>
    <row r="674" spans="42:51">
      <c r="AP674" s="17"/>
      <c r="AQ674" s="17"/>
      <c r="AR674" s="17"/>
      <c r="AS674" s="120"/>
      <c r="AT674" s="120"/>
      <c r="AY674" s="1"/>
    </row>
    <row r="675" spans="42:51">
      <c r="AP675" s="17"/>
      <c r="AQ675" s="17"/>
      <c r="AR675" s="17"/>
      <c r="AS675" s="120"/>
      <c r="AT675" s="120"/>
      <c r="AY675" s="1"/>
    </row>
    <row r="676" spans="42:51">
      <c r="AP676" s="17"/>
      <c r="AQ676" s="17"/>
      <c r="AR676" s="17"/>
      <c r="AS676" s="120"/>
      <c r="AT676" s="120"/>
      <c r="AY676" s="1"/>
    </row>
    <row r="677" spans="42:51">
      <c r="AP677" s="17"/>
      <c r="AQ677" s="17"/>
      <c r="AR677" s="17"/>
      <c r="AS677" s="120"/>
      <c r="AT677" s="120"/>
      <c r="AY677" s="1"/>
    </row>
    <row r="678" spans="42:51">
      <c r="AP678" s="17"/>
      <c r="AQ678" s="17"/>
      <c r="AR678" s="17"/>
      <c r="AS678" s="120"/>
      <c r="AT678" s="120"/>
      <c r="AY678" s="1"/>
    </row>
    <row r="679" spans="42:51">
      <c r="AP679" s="17"/>
      <c r="AQ679" s="17"/>
      <c r="AR679" s="17"/>
      <c r="AS679" s="120"/>
      <c r="AT679" s="120"/>
      <c r="AY679" s="1"/>
    </row>
    <row r="680" spans="42:51">
      <c r="AP680" s="17"/>
      <c r="AQ680" s="17"/>
      <c r="AR680" s="17"/>
      <c r="AS680" s="120"/>
      <c r="AT680" s="120"/>
      <c r="AY680" s="1"/>
    </row>
    <row r="681" spans="42:51">
      <c r="AP681" s="17"/>
      <c r="AQ681" s="17"/>
      <c r="AR681" s="17"/>
      <c r="AS681" s="120"/>
      <c r="AT681" s="120"/>
      <c r="AY681" s="1"/>
    </row>
    <row r="682" spans="42:51">
      <c r="AP682" s="17"/>
      <c r="AQ682" s="17"/>
      <c r="AR682" s="17"/>
      <c r="AS682" s="120"/>
      <c r="AT682" s="120"/>
      <c r="AY682" s="1"/>
    </row>
    <row r="683" spans="42:51">
      <c r="AP683" s="17"/>
      <c r="AQ683" s="17"/>
      <c r="AR683" s="17"/>
      <c r="AS683" s="120"/>
      <c r="AT683" s="120"/>
      <c r="AY683" s="1"/>
    </row>
    <row r="684" spans="42:51">
      <c r="AP684" s="17"/>
      <c r="AQ684" s="17"/>
      <c r="AR684" s="17"/>
      <c r="AS684" s="120"/>
      <c r="AT684" s="120"/>
      <c r="AY684" s="1"/>
    </row>
    <row r="685" spans="42:51">
      <c r="AP685" s="17"/>
      <c r="AQ685" s="17"/>
      <c r="AR685" s="17"/>
      <c r="AS685" s="120"/>
      <c r="AT685" s="120"/>
      <c r="AY685" s="1"/>
    </row>
    <row r="686" spans="42:51">
      <c r="AP686" s="17"/>
      <c r="AQ686" s="17"/>
      <c r="AR686" s="17"/>
      <c r="AS686" s="120"/>
      <c r="AT686" s="120"/>
      <c r="AY686" s="1"/>
    </row>
    <row r="687" spans="42:51">
      <c r="AP687" s="17"/>
      <c r="AQ687" s="17"/>
      <c r="AR687" s="17"/>
      <c r="AS687" s="120"/>
      <c r="AT687" s="120"/>
      <c r="AY687" s="1"/>
    </row>
    <row r="688" spans="42:51">
      <c r="AP688" s="17"/>
      <c r="AQ688" s="17"/>
      <c r="AR688" s="17"/>
      <c r="AS688" s="120"/>
      <c r="AT688" s="120"/>
      <c r="AY688" s="1"/>
    </row>
    <row r="689" spans="42:51">
      <c r="AP689" s="17"/>
      <c r="AQ689" s="17"/>
      <c r="AR689" s="17"/>
      <c r="AS689" s="120"/>
      <c r="AT689" s="120"/>
      <c r="AY689" s="1"/>
    </row>
    <row r="690" spans="42:51">
      <c r="AP690" s="17"/>
      <c r="AQ690" s="17"/>
      <c r="AR690" s="17"/>
      <c r="AS690" s="120"/>
      <c r="AT690" s="120"/>
      <c r="AY690" s="1"/>
    </row>
    <row r="691" spans="42:51">
      <c r="AP691" s="17"/>
      <c r="AQ691" s="17"/>
      <c r="AR691" s="17"/>
      <c r="AS691" s="120"/>
      <c r="AT691" s="120"/>
      <c r="AY691" s="1"/>
    </row>
    <row r="692" spans="42:51">
      <c r="AP692" s="17"/>
      <c r="AQ692" s="17"/>
      <c r="AR692" s="17"/>
      <c r="AS692" s="120"/>
      <c r="AT692" s="120"/>
      <c r="AY692" s="1"/>
    </row>
    <row r="693" spans="42:51">
      <c r="AP693" s="17"/>
      <c r="AQ693" s="17"/>
      <c r="AR693" s="17"/>
      <c r="AS693" s="120"/>
      <c r="AT693" s="120"/>
      <c r="AY693" s="1"/>
    </row>
    <row r="694" spans="42:51">
      <c r="AP694" s="17"/>
      <c r="AQ694" s="17"/>
      <c r="AR694" s="17"/>
      <c r="AS694" s="120"/>
      <c r="AT694" s="120"/>
      <c r="AY694" s="1"/>
    </row>
    <row r="695" spans="42:51">
      <c r="AP695" s="17"/>
      <c r="AQ695" s="17"/>
      <c r="AR695" s="17"/>
      <c r="AS695" s="120"/>
      <c r="AT695" s="120"/>
      <c r="AY695" s="1"/>
    </row>
    <row r="696" spans="42:51">
      <c r="AP696" s="17"/>
      <c r="AQ696" s="17"/>
      <c r="AR696" s="17"/>
      <c r="AS696" s="120"/>
      <c r="AT696" s="120"/>
      <c r="AY696" s="1"/>
    </row>
    <row r="697" spans="42:51">
      <c r="AP697" s="17"/>
      <c r="AQ697" s="17"/>
      <c r="AR697" s="17"/>
      <c r="AS697" s="120"/>
      <c r="AT697" s="120"/>
      <c r="AY697" s="1"/>
    </row>
    <row r="698" spans="42:51">
      <c r="AP698" s="17"/>
      <c r="AQ698" s="17"/>
      <c r="AR698" s="17"/>
      <c r="AS698" s="120"/>
      <c r="AT698" s="120"/>
      <c r="AY698" s="1"/>
    </row>
    <row r="699" spans="42:51">
      <c r="AP699" s="17"/>
      <c r="AQ699" s="17"/>
      <c r="AR699" s="17"/>
      <c r="AS699" s="120"/>
      <c r="AT699" s="120"/>
      <c r="AY699" s="1"/>
    </row>
    <row r="700" spans="42:51">
      <c r="AP700" s="17"/>
      <c r="AQ700" s="17"/>
      <c r="AR700" s="17"/>
      <c r="AS700" s="120"/>
      <c r="AT700" s="120"/>
      <c r="AY700" s="1"/>
    </row>
    <row r="701" spans="42:51">
      <c r="AP701" s="17"/>
      <c r="AQ701" s="17"/>
      <c r="AR701" s="17"/>
      <c r="AS701" s="120"/>
      <c r="AT701" s="120"/>
      <c r="AY701" s="1"/>
    </row>
    <row r="702" spans="42:51">
      <c r="AP702" s="17"/>
      <c r="AQ702" s="17"/>
      <c r="AR702" s="17"/>
      <c r="AS702" s="120"/>
      <c r="AT702" s="120"/>
      <c r="AY702" s="1"/>
    </row>
    <row r="703" spans="42:51">
      <c r="AP703" s="17"/>
      <c r="AQ703" s="17"/>
      <c r="AR703" s="17"/>
      <c r="AS703" s="120"/>
      <c r="AT703" s="120"/>
      <c r="AY703" s="1"/>
    </row>
    <row r="704" spans="42:51">
      <c r="AP704" s="17"/>
      <c r="AQ704" s="17"/>
      <c r="AR704" s="17"/>
      <c r="AS704" s="120"/>
      <c r="AT704" s="120"/>
      <c r="AY704" s="1"/>
    </row>
    <row r="705" spans="42:51">
      <c r="AP705" s="17"/>
      <c r="AQ705" s="17"/>
      <c r="AR705" s="17"/>
      <c r="AS705" s="120"/>
      <c r="AT705" s="120"/>
      <c r="AY705" s="1"/>
    </row>
    <row r="706" spans="42:51">
      <c r="AP706" s="17"/>
      <c r="AQ706" s="17"/>
      <c r="AR706" s="17"/>
      <c r="AS706" s="120"/>
      <c r="AT706" s="120"/>
      <c r="AY706" s="1"/>
    </row>
    <row r="707" spans="42:51">
      <c r="AP707" s="17"/>
      <c r="AQ707" s="17"/>
      <c r="AR707" s="17"/>
      <c r="AS707" s="120"/>
      <c r="AT707" s="120"/>
      <c r="AY707" s="1"/>
    </row>
    <row r="708" spans="42:51">
      <c r="AP708" s="17"/>
      <c r="AQ708" s="17"/>
      <c r="AR708" s="17"/>
      <c r="AS708" s="120"/>
      <c r="AT708" s="120"/>
      <c r="AY708" s="1"/>
    </row>
    <row r="709" spans="42:51">
      <c r="AP709" s="17"/>
      <c r="AQ709" s="17"/>
      <c r="AR709" s="17"/>
      <c r="AS709" s="120"/>
      <c r="AT709" s="120"/>
      <c r="AY709" s="1"/>
    </row>
    <row r="710" spans="42:51">
      <c r="AP710" s="17"/>
      <c r="AQ710" s="17"/>
      <c r="AR710" s="17"/>
      <c r="AS710" s="120"/>
      <c r="AT710" s="120"/>
      <c r="AY710" s="1"/>
    </row>
    <row r="711" spans="42:51">
      <c r="AP711" s="17"/>
      <c r="AQ711" s="17"/>
      <c r="AR711" s="17"/>
      <c r="AS711" s="120"/>
      <c r="AT711" s="120"/>
      <c r="AY711" s="1"/>
    </row>
    <row r="712" spans="42:51">
      <c r="AP712" s="17"/>
      <c r="AQ712" s="17"/>
      <c r="AR712" s="17"/>
      <c r="AS712" s="120"/>
      <c r="AT712" s="120"/>
      <c r="AY712" s="1"/>
    </row>
    <row r="713" spans="42:51">
      <c r="AP713" s="17"/>
      <c r="AQ713" s="17"/>
      <c r="AR713" s="17"/>
      <c r="AS713" s="120"/>
      <c r="AT713" s="120"/>
      <c r="AY713" s="1"/>
    </row>
    <row r="714" spans="42:51">
      <c r="AP714" s="17"/>
      <c r="AQ714" s="17"/>
      <c r="AR714" s="17"/>
      <c r="AS714" s="120"/>
      <c r="AT714" s="120"/>
      <c r="AY714" s="1"/>
    </row>
    <row r="715" spans="42:51">
      <c r="AP715" s="17"/>
      <c r="AQ715" s="17"/>
      <c r="AR715" s="17"/>
      <c r="AS715" s="120"/>
      <c r="AT715" s="120"/>
      <c r="AY715" s="1"/>
    </row>
    <row r="716" spans="42:51">
      <c r="AP716" s="17"/>
      <c r="AQ716" s="17"/>
      <c r="AR716" s="17"/>
      <c r="AS716" s="120"/>
      <c r="AT716" s="120"/>
      <c r="AY716" s="1"/>
    </row>
    <row r="717" spans="42:51">
      <c r="AP717" s="17"/>
      <c r="AQ717" s="17"/>
      <c r="AR717" s="17"/>
      <c r="AS717" s="120"/>
      <c r="AT717" s="120"/>
      <c r="AY717" s="1"/>
    </row>
    <row r="718" spans="42:51">
      <c r="AP718" s="17"/>
      <c r="AQ718" s="17"/>
      <c r="AR718" s="17"/>
      <c r="AS718" s="120"/>
      <c r="AT718" s="120"/>
      <c r="AY718" s="1"/>
    </row>
    <row r="719" spans="42:51">
      <c r="AP719" s="17"/>
      <c r="AQ719" s="17"/>
      <c r="AR719" s="17"/>
      <c r="AS719" s="120"/>
      <c r="AT719" s="120"/>
      <c r="AY719" s="1"/>
    </row>
    <row r="720" spans="42:51">
      <c r="AP720" s="17"/>
      <c r="AQ720" s="17"/>
      <c r="AR720" s="17"/>
      <c r="AS720" s="120"/>
      <c r="AT720" s="120"/>
      <c r="AY720" s="1"/>
    </row>
    <row r="721" spans="42:51">
      <c r="AP721" s="17"/>
      <c r="AQ721" s="17"/>
      <c r="AR721" s="17"/>
      <c r="AS721" s="120"/>
      <c r="AT721" s="120"/>
      <c r="AY721" s="1"/>
    </row>
    <row r="722" spans="42:51">
      <c r="AP722" s="17"/>
      <c r="AQ722" s="17"/>
      <c r="AR722" s="17"/>
      <c r="AS722" s="120"/>
      <c r="AT722" s="120"/>
      <c r="AY722" s="1"/>
    </row>
    <row r="723" spans="42:51">
      <c r="AP723" s="17"/>
      <c r="AQ723" s="17"/>
      <c r="AR723" s="17"/>
      <c r="AS723" s="120"/>
      <c r="AT723" s="120"/>
      <c r="AY723" s="1"/>
    </row>
    <row r="724" spans="42:51">
      <c r="AP724" s="17"/>
      <c r="AQ724" s="17"/>
      <c r="AR724" s="17"/>
      <c r="AS724" s="120"/>
      <c r="AT724" s="120"/>
      <c r="AY724" s="1"/>
    </row>
    <row r="725" spans="42:51">
      <c r="AP725" s="17"/>
      <c r="AQ725" s="17"/>
      <c r="AR725" s="17"/>
      <c r="AS725" s="120"/>
      <c r="AT725" s="120"/>
      <c r="AY725" s="1"/>
    </row>
    <row r="726" spans="42:51">
      <c r="AP726" s="17"/>
      <c r="AQ726" s="17"/>
      <c r="AR726" s="17"/>
      <c r="AS726" s="120"/>
      <c r="AT726" s="120"/>
      <c r="AY726" s="1"/>
    </row>
    <row r="727" spans="42:51">
      <c r="AP727" s="17"/>
      <c r="AQ727" s="17"/>
      <c r="AR727" s="17"/>
      <c r="AS727" s="120"/>
      <c r="AT727" s="120"/>
      <c r="AY727" s="1"/>
    </row>
    <row r="728" spans="42:51">
      <c r="AP728" s="17"/>
      <c r="AQ728" s="17"/>
      <c r="AR728" s="17"/>
      <c r="AS728" s="120"/>
      <c r="AT728" s="120"/>
      <c r="AY728" s="1"/>
    </row>
    <row r="729" spans="42:51">
      <c r="AP729" s="17"/>
      <c r="AQ729" s="17"/>
      <c r="AR729" s="17"/>
      <c r="AS729" s="120"/>
      <c r="AT729" s="120"/>
      <c r="AY729" s="1"/>
    </row>
    <row r="730" spans="42:51">
      <c r="AP730" s="17"/>
      <c r="AQ730" s="17"/>
      <c r="AR730" s="17"/>
      <c r="AS730" s="120"/>
      <c r="AT730" s="120"/>
      <c r="AY730" s="1"/>
    </row>
    <row r="731" spans="42:51">
      <c r="AP731" s="17"/>
      <c r="AQ731" s="17"/>
      <c r="AR731" s="17"/>
      <c r="AS731" s="120"/>
      <c r="AT731" s="120"/>
      <c r="AY731" s="1"/>
    </row>
    <row r="732" spans="42:51">
      <c r="AP732" s="17"/>
      <c r="AQ732" s="17"/>
      <c r="AR732" s="17"/>
      <c r="AS732" s="120"/>
      <c r="AT732" s="120"/>
      <c r="AY732" s="1"/>
    </row>
    <row r="733" spans="42:51">
      <c r="AP733" s="17"/>
      <c r="AQ733" s="17"/>
      <c r="AR733" s="17"/>
      <c r="AS733" s="120"/>
      <c r="AT733" s="120"/>
      <c r="AY733" s="1"/>
    </row>
    <row r="734" spans="42:51">
      <c r="AP734" s="17"/>
      <c r="AQ734" s="17"/>
      <c r="AR734" s="17"/>
      <c r="AS734" s="120"/>
      <c r="AT734" s="120"/>
      <c r="AY734" s="1"/>
    </row>
    <row r="735" spans="42:51">
      <c r="AP735" s="17"/>
      <c r="AQ735" s="17"/>
      <c r="AR735" s="17"/>
      <c r="AS735" s="120"/>
      <c r="AT735" s="120"/>
      <c r="AY735" s="1"/>
    </row>
    <row r="736" spans="42:51">
      <c r="AP736" s="17"/>
      <c r="AQ736" s="17"/>
      <c r="AR736" s="17"/>
      <c r="AS736" s="120"/>
      <c r="AT736" s="120"/>
      <c r="AY736" s="1"/>
    </row>
    <row r="737" spans="42:51">
      <c r="AP737" s="17"/>
      <c r="AQ737" s="17"/>
      <c r="AR737" s="17"/>
      <c r="AS737" s="120"/>
      <c r="AT737" s="120"/>
      <c r="AY737" s="1"/>
    </row>
    <row r="738" spans="42:51">
      <c r="AP738" s="17"/>
      <c r="AQ738" s="17"/>
      <c r="AR738" s="17"/>
      <c r="AS738" s="120"/>
      <c r="AT738" s="120"/>
      <c r="AY738" s="1"/>
    </row>
    <row r="739" spans="42:51">
      <c r="AP739" s="17"/>
      <c r="AQ739" s="17"/>
      <c r="AR739" s="17"/>
      <c r="AS739" s="120"/>
      <c r="AT739" s="120"/>
      <c r="AY739" s="1"/>
    </row>
    <row r="740" spans="42:51">
      <c r="AP740" s="17"/>
      <c r="AQ740" s="17"/>
      <c r="AR740" s="17"/>
      <c r="AS740" s="120"/>
      <c r="AT740" s="120"/>
      <c r="AY740" s="1"/>
    </row>
    <row r="741" spans="42:51">
      <c r="AP741" s="17"/>
      <c r="AQ741" s="17"/>
      <c r="AR741" s="17"/>
      <c r="AS741" s="120"/>
      <c r="AT741" s="120"/>
      <c r="AY741" s="1"/>
    </row>
    <row r="742" spans="42:51">
      <c r="AP742" s="17"/>
      <c r="AQ742" s="17"/>
      <c r="AR742" s="17"/>
      <c r="AS742" s="120"/>
      <c r="AT742" s="120"/>
      <c r="AY742" s="1"/>
    </row>
    <row r="743" spans="42:51">
      <c r="AP743" s="17"/>
      <c r="AQ743" s="17"/>
      <c r="AR743" s="17"/>
      <c r="AS743" s="120"/>
      <c r="AT743" s="120"/>
      <c r="AY743" s="1"/>
    </row>
    <row r="744" spans="42:51">
      <c r="AP744" s="17"/>
      <c r="AQ744" s="17"/>
      <c r="AR744" s="17"/>
      <c r="AS744" s="120"/>
      <c r="AT744" s="120"/>
      <c r="AY744" s="1"/>
    </row>
    <row r="745" spans="42:51">
      <c r="AP745" s="17"/>
      <c r="AQ745" s="17"/>
      <c r="AR745" s="17"/>
      <c r="AS745" s="120"/>
      <c r="AT745" s="120"/>
      <c r="AY745" s="1"/>
    </row>
    <row r="746" spans="42:51">
      <c r="AP746" s="17"/>
      <c r="AQ746" s="17"/>
      <c r="AR746" s="17"/>
      <c r="AS746" s="120"/>
      <c r="AT746" s="120"/>
      <c r="AY746" s="1"/>
    </row>
    <row r="747" spans="42:51">
      <c r="AP747" s="17"/>
      <c r="AQ747" s="17"/>
      <c r="AR747" s="17"/>
      <c r="AS747" s="120"/>
      <c r="AT747" s="120"/>
      <c r="AY747" s="1"/>
    </row>
    <row r="748" spans="42:51">
      <c r="AP748" s="17"/>
      <c r="AQ748" s="17"/>
      <c r="AR748" s="17"/>
      <c r="AS748" s="120"/>
      <c r="AT748" s="120"/>
      <c r="AY748" s="1"/>
    </row>
    <row r="749" spans="42:51">
      <c r="AP749" s="17"/>
      <c r="AQ749" s="17"/>
      <c r="AR749" s="17"/>
      <c r="AS749" s="120"/>
      <c r="AT749" s="120"/>
      <c r="AY749" s="1"/>
    </row>
    <row r="750" spans="42:51">
      <c r="AP750" s="17"/>
      <c r="AQ750" s="17"/>
      <c r="AR750" s="17"/>
      <c r="AS750" s="120"/>
      <c r="AT750" s="120"/>
      <c r="AY750" s="1"/>
    </row>
    <row r="751" spans="42:51">
      <c r="AP751" s="17"/>
      <c r="AQ751" s="17"/>
      <c r="AR751" s="17"/>
      <c r="AS751" s="120"/>
      <c r="AT751" s="120"/>
      <c r="AY751" s="1"/>
    </row>
    <row r="752" spans="42:51">
      <c r="AP752" s="17"/>
      <c r="AQ752" s="17"/>
      <c r="AR752" s="17"/>
      <c r="AS752" s="120"/>
      <c r="AT752" s="120"/>
      <c r="AY752" s="1"/>
    </row>
    <row r="753" spans="42:51">
      <c r="AP753" s="17"/>
      <c r="AQ753" s="17"/>
      <c r="AR753" s="17"/>
      <c r="AS753" s="120"/>
      <c r="AT753" s="120"/>
      <c r="AY753" s="1"/>
    </row>
    <row r="754" spans="42:51">
      <c r="AP754" s="17"/>
      <c r="AQ754" s="17"/>
      <c r="AR754" s="17"/>
      <c r="AS754" s="120"/>
      <c r="AT754" s="120"/>
      <c r="AY754" s="1"/>
    </row>
    <row r="755" spans="42:51">
      <c r="AP755" s="17"/>
      <c r="AQ755" s="17"/>
      <c r="AR755" s="17"/>
      <c r="AS755" s="120"/>
      <c r="AT755" s="120"/>
      <c r="AY755" s="1"/>
    </row>
    <row r="756" spans="42:51">
      <c r="AP756" s="17"/>
      <c r="AQ756" s="17"/>
      <c r="AR756" s="17"/>
      <c r="AS756" s="120"/>
      <c r="AT756" s="120"/>
      <c r="AY756" s="1"/>
    </row>
    <row r="757" spans="42:51">
      <c r="AP757" s="17"/>
      <c r="AQ757" s="17"/>
      <c r="AR757" s="17"/>
      <c r="AS757" s="120"/>
      <c r="AT757" s="120"/>
      <c r="AY757" s="1"/>
    </row>
    <row r="758" spans="42:51">
      <c r="AP758" s="17"/>
      <c r="AQ758" s="17"/>
      <c r="AR758" s="17"/>
      <c r="AS758" s="120"/>
      <c r="AT758" s="120"/>
      <c r="AY758" s="1"/>
    </row>
    <row r="759" spans="42:51">
      <c r="AP759" s="17"/>
      <c r="AQ759" s="17"/>
      <c r="AR759" s="17"/>
      <c r="AS759" s="120"/>
      <c r="AT759" s="120"/>
      <c r="AY759" s="1"/>
    </row>
    <row r="760" spans="42:51">
      <c r="AP760" s="17"/>
      <c r="AQ760" s="17"/>
      <c r="AR760" s="17"/>
      <c r="AS760" s="120"/>
      <c r="AT760" s="120"/>
      <c r="AY760" s="1"/>
    </row>
    <row r="761" spans="42:51">
      <c r="AP761" s="17"/>
      <c r="AQ761" s="17"/>
      <c r="AR761" s="17"/>
      <c r="AS761" s="120"/>
      <c r="AT761" s="120"/>
      <c r="AY761" s="1"/>
    </row>
    <row r="762" spans="42:51">
      <c r="AP762" s="17"/>
      <c r="AQ762" s="17"/>
      <c r="AR762" s="17"/>
      <c r="AS762" s="120"/>
      <c r="AT762" s="120"/>
      <c r="AY762" s="1"/>
    </row>
    <row r="763" spans="42:51">
      <c r="AP763" s="17"/>
      <c r="AQ763" s="17"/>
      <c r="AR763" s="17"/>
      <c r="AS763" s="120"/>
      <c r="AT763" s="120"/>
      <c r="AY763" s="1"/>
    </row>
    <row r="764" spans="42:51">
      <c r="AP764" s="17"/>
      <c r="AQ764" s="17"/>
      <c r="AR764" s="17"/>
      <c r="AS764" s="120"/>
      <c r="AT764" s="120"/>
      <c r="AY764" s="1"/>
    </row>
    <row r="765" spans="42:51">
      <c r="AP765" s="17"/>
      <c r="AQ765" s="17"/>
      <c r="AR765" s="17"/>
      <c r="AS765" s="120"/>
      <c r="AT765" s="120"/>
      <c r="AY765" s="1"/>
    </row>
    <row r="766" spans="42:51">
      <c r="AP766" s="17"/>
      <c r="AQ766" s="17"/>
      <c r="AR766" s="17"/>
      <c r="AS766" s="120"/>
      <c r="AT766" s="120"/>
      <c r="AY766" s="1"/>
    </row>
    <row r="767" spans="42:51">
      <c r="AP767" s="17"/>
      <c r="AQ767" s="17"/>
      <c r="AR767" s="17"/>
      <c r="AS767" s="120"/>
      <c r="AT767" s="120"/>
      <c r="AY767" s="1"/>
    </row>
    <row r="768" spans="42:51">
      <c r="AP768" s="17"/>
      <c r="AQ768" s="17"/>
      <c r="AR768" s="17"/>
      <c r="AS768" s="120"/>
      <c r="AT768" s="120"/>
      <c r="AY768" s="1"/>
    </row>
    <row r="769" spans="42:51">
      <c r="AP769" s="17"/>
      <c r="AQ769" s="17"/>
      <c r="AR769" s="17"/>
      <c r="AS769" s="120"/>
      <c r="AT769" s="120"/>
      <c r="AY769" s="1"/>
    </row>
    <row r="770" spans="42:51">
      <c r="AP770" s="17"/>
      <c r="AQ770" s="17"/>
      <c r="AR770" s="17"/>
      <c r="AS770" s="120"/>
      <c r="AT770" s="120"/>
      <c r="AY770" s="1"/>
    </row>
    <row r="771" spans="42:51">
      <c r="AP771" s="17"/>
      <c r="AQ771" s="17"/>
      <c r="AR771" s="17"/>
      <c r="AS771" s="120"/>
      <c r="AT771" s="120"/>
      <c r="AY771" s="1"/>
    </row>
    <row r="772" spans="42:51">
      <c r="AP772" s="17"/>
      <c r="AQ772" s="17"/>
      <c r="AR772" s="17"/>
      <c r="AS772" s="120"/>
      <c r="AT772" s="120"/>
      <c r="AY772" s="1"/>
    </row>
    <row r="773" spans="42:51">
      <c r="AP773" s="17"/>
      <c r="AQ773" s="17"/>
      <c r="AR773" s="17"/>
      <c r="AS773" s="120"/>
      <c r="AT773" s="120"/>
      <c r="AY773" s="1"/>
    </row>
    <row r="774" spans="42:51">
      <c r="AP774" s="17"/>
      <c r="AQ774" s="17"/>
      <c r="AR774" s="17"/>
      <c r="AS774" s="120"/>
      <c r="AT774" s="120"/>
      <c r="AY774" s="1"/>
    </row>
    <row r="775" spans="42:51">
      <c r="AP775" s="17"/>
      <c r="AQ775" s="17"/>
      <c r="AR775" s="17"/>
      <c r="AS775" s="120"/>
      <c r="AT775" s="120"/>
      <c r="AY775" s="1"/>
    </row>
    <row r="776" spans="42:51">
      <c r="AP776" s="17"/>
      <c r="AQ776" s="17"/>
      <c r="AR776" s="17"/>
      <c r="AS776" s="120"/>
      <c r="AT776" s="120"/>
      <c r="AY776" s="1"/>
    </row>
    <row r="777" spans="42:51">
      <c r="AP777" s="17"/>
      <c r="AQ777" s="17"/>
      <c r="AR777" s="17"/>
      <c r="AS777" s="120"/>
      <c r="AT777" s="120"/>
      <c r="AY777" s="1"/>
    </row>
    <row r="778" spans="42:51">
      <c r="AP778" s="17"/>
      <c r="AQ778" s="17"/>
      <c r="AR778" s="17"/>
      <c r="AS778" s="120"/>
      <c r="AT778" s="120"/>
      <c r="AY778" s="1"/>
    </row>
    <row r="779" spans="42:51">
      <c r="AP779" s="17"/>
      <c r="AQ779" s="17"/>
      <c r="AR779" s="17"/>
      <c r="AS779" s="120"/>
      <c r="AT779" s="120"/>
      <c r="AY779" s="1"/>
    </row>
    <row r="780" spans="42:51">
      <c r="AP780" s="17"/>
      <c r="AQ780" s="17"/>
      <c r="AR780" s="17"/>
      <c r="AS780" s="120"/>
      <c r="AT780" s="120"/>
      <c r="AY780" s="1"/>
    </row>
    <row r="781" spans="42:51">
      <c r="AP781" s="17"/>
      <c r="AQ781" s="17"/>
      <c r="AR781" s="17"/>
      <c r="AS781" s="120"/>
      <c r="AT781" s="120"/>
      <c r="AY781" s="1"/>
    </row>
    <row r="782" spans="42:51">
      <c r="AP782" s="17"/>
      <c r="AQ782" s="17"/>
      <c r="AR782" s="17"/>
      <c r="AS782" s="120"/>
      <c r="AT782" s="120"/>
      <c r="AY782" s="1"/>
    </row>
    <row r="783" spans="42:51">
      <c r="AP783" s="17"/>
      <c r="AQ783" s="17"/>
      <c r="AR783" s="17"/>
      <c r="AS783" s="120"/>
      <c r="AT783" s="120"/>
      <c r="AY783" s="1"/>
    </row>
    <row r="784" spans="42:51">
      <c r="AP784" s="17"/>
      <c r="AQ784" s="17"/>
      <c r="AR784" s="17"/>
      <c r="AS784" s="120"/>
      <c r="AT784" s="120"/>
      <c r="AY784" s="1"/>
    </row>
    <row r="785" spans="42:51">
      <c r="AP785" s="17"/>
      <c r="AQ785" s="17"/>
      <c r="AR785" s="17"/>
      <c r="AS785" s="120"/>
      <c r="AT785" s="120"/>
      <c r="AY785" s="1"/>
    </row>
    <row r="786" spans="42:51">
      <c r="AP786" s="17"/>
      <c r="AQ786" s="17"/>
      <c r="AR786" s="17"/>
      <c r="AS786" s="120"/>
      <c r="AT786" s="120"/>
      <c r="AY786" s="1"/>
    </row>
    <row r="787" spans="42:51">
      <c r="AP787" s="17"/>
      <c r="AQ787" s="17"/>
      <c r="AR787" s="17"/>
      <c r="AS787" s="120"/>
      <c r="AT787" s="120"/>
      <c r="AY787" s="1"/>
    </row>
    <row r="788" spans="42:51">
      <c r="AP788" s="17"/>
      <c r="AQ788" s="17"/>
      <c r="AR788" s="17"/>
      <c r="AS788" s="120"/>
      <c r="AT788" s="120"/>
      <c r="AY788" s="1"/>
    </row>
    <row r="789" spans="42:51">
      <c r="AP789" s="17"/>
      <c r="AQ789" s="17"/>
      <c r="AR789" s="17"/>
      <c r="AS789" s="120"/>
      <c r="AT789" s="120"/>
      <c r="AY789" s="1"/>
    </row>
    <row r="790" spans="42:51">
      <c r="AP790" s="17"/>
      <c r="AQ790" s="17"/>
      <c r="AR790" s="17"/>
      <c r="AS790" s="120"/>
      <c r="AT790" s="120"/>
      <c r="AY790" s="1"/>
    </row>
    <row r="791" spans="42:51">
      <c r="AP791" s="17"/>
      <c r="AQ791" s="17"/>
      <c r="AR791" s="17"/>
      <c r="AS791" s="120"/>
      <c r="AT791" s="120"/>
      <c r="AY791" s="1"/>
    </row>
    <row r="792" spans="42:51">
      <c r="AP792" s="17"/>
      <c r="AQ792" s="17"/>
      <c r="AR792" s="17"/>
      <c r="AS792" s="120"/>
      <c r="AT792" s="120"/>
      <c r="AY792" s="1"/>
    </row>
    <row r="793" spans="42:51">
      <c r="AP793" s="17"/>
      <c r="AQ793" s="17"/>
      <c r="AR793" s="17"/>
      <c r="AS793" s="120"/>
      <c r="AT793" s="120"/>
      <c r="AY793" s="1"/>
    </row>
    <row r="794" spans="42:51">
      <c r="AP794" s="17"/>
      <c r="AQ794" s="17"/>
      <c r="AR794" s="17"/>
      <c r="AS794" s="120"/>
      <c r="AT794" s="120"/>
      <c r="AY794" s="1"/>
    </row>
    <row r="795" spans="42:51">
      <c r="AP795" s="17"/>
      <c r="AQ795" s="17"/>
      <c r="AR795" s="17"/>
      <c r="AS795" s="120"/>
      <c r="AT795" s="120"/>
      <c r="AY795" s="1"/>
    </row>
    <row r="796" spans="42:51">
      <c r="AP796" s="17"/>
      <c r="AQ796" s="17"/>
      <c r="AR796" s="17"/>
      <c r="AS796" s="120"/>
      <c r="AT796" s="120"/>
      <c r="AY796" s="1"/>
    </row>
    <row r="797" spans="42:51">
      <c r="AP797" s="17"/>
      <c r="AQ797" s="17"/>
      <c r="AR797" s="17"/>
      <c r="AS797" s="120"/>
      <c r="AT797" s="120"/>
      <c r="AY797" s="1"/>
    </row>
    <row r="798" spans="42:51">
      <c r="AP798" s="17"/>
      <c r="AQ798" s="17"/>
      <c r="AR798" s="17"/>
      <c r="AS798" s="120"/>
      <c r="AT798" s="120"/>
      <c r="AY798" s="1"/>
    </row>
    <row r="799" spans="42:51">
      <c r="AP799" s="17"/>
      <c r="AQ799" s="17"/>
      <c r="AR799" s="17"/>
      <c r="AS799" s="120"/>
      <c r="AT799" s="120"/>
      <c r="AY799" s="1"/>
    </row>
    <row r="800" spans="42:51">
      <c r="AP800" s="17"/>
      <c r="AQ800" s="17"/>
      <c r="AR800" s="17"/>
      <c r="AS800" s="120"/>
      <c r="AT800" s="120"/>
      <c r="AY800" s="1"/>
    </row>
    <row r="801" spans="42:51">
      <c r="AP801" s="17"/>
      <c r="AQ801" s="17"/>
      <c r="AR801" s="17"/>
      <c r="AS801" s="120"/>
      <c r="AT801" s="120"/>
      <c r="AY801" s="1"/>
    </row>
    <row r="802" spans="42:51">
      <c r="AP802" s="17"/>
      <c r="AQ802" s="17"/>
      <c r="AR802" s="17"/>
      <c r="AS802" s="120"/>
      <c r="AT802" s="120"/>
      <c r="AY802" s="1"/>
    </row>
    <row r="803" spans="42:51">
      <c r="AP803" s="17"/>
      <c r="AQ803" s="17"/>
      <c r="AR803" s="17"/>
      <c r="AS803" s="120"/>
      <c r="AT803" s="120"/>
      <c r="AY803" s="1"/>
    </row>
    <row r="804" spans="42:51">
      <c r="AP804" s="17"/>
      <c r="AQ804" s="17"/>
      <c r="AR804" s="17"/>
      <c r="AS804" s="120"/>
      <c r="AT804" s="120"/>
      <c r="AY804" s="1"/>
    </row>
    <row r="805" spans="42:51">
      <c r="AP805" s="17"/>
      <c r="AQ805" s="17"/>
      <c r="AR805" s="17"/>
      <c r="AS805" s="120"/>
      <c r="AT805" s="120"/>
      <c r="AY805" s="1"/>
    </row>
    <row r="806" spans="42:51">
      <c r="AP806" s="17"/>
      <c r="AQ806" s="17"/>
      <c r="AR806" s="17"/>
      <c r="AS806" s="120"/>
      <c r="AT806" s="120"/>
      <c r="AY806" s="1"/>
    </row>
    <row r="807" spans="42:51">
      <c r="AP807" s="17"/>
      <c r="AQ807" s="17"/>
      <c r="AR807" s="17"/>
      <c r="AS807" s="120"/>
      <c r="AT807" s="120"/>
      <c r="AY807" s="1"/>
    </row>
    <row r="808" spans="42:51">
      <c r="AP808" s="17"/>
      <c r="AQ808" s="17"/>
      <c r="AR808" s="17"/>
      <c r="AS808" s="120"/>
      <c r="AT808" s="120"/>
      <c r="AY808" s="1"/>
    </row>
    <row r="809" spans="42:51">
      <c r="AP809" s="17"/>
      <c r="AQ809" s="17"/>
      <c r="AR809" s="17"/>
      <c r="AS809" s="120"/>
      <c r="AT809" s="120"/>
      <c r="AY809" s="1"/>
    </row>
    <row r="810" spans="42:51">
      <c r="AP810" s="17"/>
      <c r="AQ810" s="17"/>
      <c r="AR810" s="17"/>
      <c r="AS810" s="120"/>
      <c r="AT810" s="120"/>
      <c r="AY810" s="1"/>
    </row>
    <row r="811" spans="42:51">
      <c r="AP811" s="17"/>
      <c r="AQ811" s="17"/>
      <c r="AR811" s="17"/>
      <c r="AS811" s="120"/>
      <c r="AT811" s="120"/>
      <c r="AY811" s="1"/>
    </row>
    <row r="812" spans="42:51">
      <c r="AP812" s="17"/>
      <c r="AQ812" s="17"/>
      <c r="AR812" s="17"/>
      <c r="AS812" s="120"/>
      <c r="AT812" s="120"/>
      <c r="AY812" s="1"/>
    </row>
    <row r="813" spans="42:51">
      <c r="AP813" s="17"/>
      <c r="AQ813" s="17"/>
      <c r="AR813" s="17"/>
      <c r="AS813" s="120"/>
      <c r="AT813" s="120"/>
      <c r="AY813" s="1"/>
    </row>
    <row r="814" spans="42:51">
      <c r="AP814" s="17"/>
      <c r="AQ814" s="17"/>
      <c r="AR814" s="17"/>
      <c r="AS814" s="120"/>
      <c r="AT814" s="120"/>
      <c r="AY814" s="1"/>
    </row>
    <row r="815" spans="42:51">
      <c r="AP815" s="17"/>
      <c r="AQ815" s="17"/>
      <c r="AR815" s="17"/>
      <c r="AS815" s="120"/>
      <c r="AT815" s="120"/>
      <c r="AY815" s="1"/>
    </row>
    <row r="816" spans="42:51">
      <c r="AP816" s="17"/>
      <c r="AQ816" s="17"/>
      <c r="AR816" s="17"/>
      <c r="AS816" s="120"/>
      <c r="AT816" s="120"/>
      <c r="AY816" s="1"/>
    </row>
    <row r="817" spans="42:51">
      <c r="AP817" s="17"/>
      <c r="AQ817" s="17"/>
      <c r="AR817" s="17"/>
      <c r="AS817" s="120"/>
      <c r="AT817" s="120"/>
      <c r="AY817" s="1"/>
    </row>
    <row r="818" spans="42:51">
      <c r="AP818" s="17"/>
      <c r="AQ818" s="17"/>
      <c r="AR818" s="17"/>
      <c r="AS818" s="120"/>
      <c r="AT818" s="120"/>
      <c r="AY818" s="1"/>
    </row>
    <row r="819" spans="42:51">
      <c r="AP819" s="17"/>
      <c r="AQ819" s="17"/>
      <c r="AR819" s="17"/>
      <c r="AS819" s="120"/>
      <c r="AT819" s="120"/>
      <c r="AY819" s="1"/>
    </row>
    <row r="820" spans="42:51">
      <c r="AP820" s="17"/>
      <c r="AQ820" s="17"/>
      <c r="AR820" s="17"/>
      <c r="AS820" s="120"/>
      <c r="AT820" s="120"/>
      <c r="AY820" s="1"/>
    </row>
    <row r="821" spans="42:51">
      <c r="AP821" s="17"/>
      <c r="AQ821" s="17"/>
      <c r="AR821" s="17"/>
      <c r="AS821" s="120"/>
      <c r="AT821" s="120"/>
      <c r="AY821" s="1"/>
    </row>
    <row r="822" spans="42:51">
      <c r="AP822" s="17"/>
      <c r="AQ822" s="17"/>
      <c r="AR822" s="17"/>
      <c r="AS822" s="120"/>
      <c r="AT822" s="120"/>
      <c r="AY822" s="1"/>
    </row>
    <row r="823" spans="42:51">
      <c r="AP823" s="17"/>
      <c r="AQ823" s="17"/>
      <c r="AR823" s="17"/>
      <c r="AS823" s="120"/>
      <c r="AT823" s="120"/>
      <c r="AY823" s="1"/>
    </row>
    <row r="824" spans="42:51">
      <c r="AP824" s="17"/>
      <c r="AQ824" s="17"/>
      <c r="AR824" s="17"/>
      <c r="AS824" s="120"/>
      <c r="AT824" s="120"/>
      <c r="AY824" s="1"/>
    </row>
    <row r="825" spans="42:51">
      <c r="AP825" s="17"/>
      <c r="AQ825" s="17"/>
      <c r="AR825" s="17"/>
      <c r="AS825" s="120"/>
      <c r="AT825" s="120"/>
      <c r="AY825" s="1"/>
    </row>
    <row r="826" spans="42:51">
      <c r="AP826" s="17"/>
      <c r="AQ826" s="17"/>
      <c r="AR826" s="17"/>
      <c r="AS826" s="120"/>
      <c r="AT826" s="120"/>
      <c r="AY826" s="1"/>
    </row>
    <row r="827" spans="42:51">
      <c r="AP827" s="17"/>
      <c r="AQ827" s="17"/>
      <c r="AR827" s="17"/>
      <c r="AS827" s="120"/>
      <c r="AT827" s="120"/>
      <c r="AY827" s="1"/>
    </row>
    <row r="828" spans="42:51">
      <c r="AP828" s="17"/>
      <c r="AQ828" s="17"/>
      <c r="AR828" s="17"/>
      <c r="AS828" s="120"/>
      <c r="AT828" s="120"/>
      <c r="AY828" s="1"/>
    </row>
    <row r="829" spans="42:51">
      <c r="AP829" s="17"/>
      <c r="AQ829" s="17"/>
      <c r="AR829" s="17"/>
      <c r="AS829" s="120"/>
      <c r="AT829" s="120"/>
      <c r="AY829" s="1"/>
    </row>
    <row r="830" spans="42:51">
      <c r="AP830" s="17"/>
      <c r="AQ830" s="17"/>
      <c r="AR830" s="17"/>
      <c r="AS830" s="120"/>
      <c r="AT830" s="120"/>
      <c r="AY830" s="1"/>
    </row>
    <row r="831" spans="42:51">
      <c r="AP831" s="17"/>
      <c r="AQ831" s="17"/>
      <c r="AR831" s="17"/>
      <c r="AS831" s="120"/>
      <c r="AT831" s="120"/>
      <c r="AY831" s="1"/>
    </row>
    <row r="832" spans="42:51">
      <c r="AP832" s="17"/>
      <c r="AQ832" s="17"/>
      <c r="AR832" s="17"/>
      <c r="AS832" s="120"/>
      <c r="AT832" s="120"/>
      <c r="AY832" s="1"/>
    </row>
    <row r="833" spans="42:51">
      <c r="AP833" s="17"/>
      <c r="AQ833" s="17"/>
      <c r="AR833" s="17"/>
      <c r="AS833" s="120"/>
      <c r="AT833" s="120"/>
      <c r="AY833" s="1"/>
    </row>
    <row r="834" spans="42:51">
      <c r="AP834" s="17"/>
      <c r="AQ834" s="17"/>
      <c r="AR834" s="17"/>
      <c r="AS834" s="120"/>
      <c r="AT834" s="120"/>
      <c r="AY834" s="1"/>
    </row>
    <row r="835" spans="42:51">
      <c r="AP835" s="17"/>
      <c r="AQ835" s="17"/>
      <c r="AR835" s="17"/>
      <c r="AS835" s="120"/>
      <c r="AT835" s="120"/>
      <c r="AY835" s="1"/>
    </row>
    <row r="836" spans="42:51">
      <c r="AP836" s="17"/>
      <c r="AQ836" s="17"/>
      <c r="AR836" s="17"/>
      <c r="AS836" s="120"/>
      <c r="AT836" s="120"/>
      <c r="AY836" s="1"/>
    </row>
    <row r="837" spans="42:51">
      <c r="AP837" s="17"/>
      <c r="AQ837" s="17"/>
      <c r="AR837" s="17"/>
      <c r="AS837" s="120"/>
      <c r="AT837" s="120"/>
      <c r="AY837" s="1"/>
    </row>
    <row r="838" spans="42:51">
      <c r="AP838" s="17"/>
      <c r="AQ838" s="17"/>
      <c r="AR838" s="17"/>
      <c r="AS838" s="120"/>
      <c r="AT838" s="120"/>
      <c r="AY838" s="1"/>
    </row>
    <row r="839" spans="42:51">
      <c r="AP839" s="17"/>
      <c r="AQ839" s="17"/>
      <c r="AR839" s="17"/>
      <c r="AS839" s="120"/>
      <c r="AT839" s="120"/>
      <c r="AY839" s="1"/>
    </row>
    <row r="840" spans="42:51">
      <c r="AP840" s="17"/>
      <c r="AQ840" s="17"/>
      <c r="AR840" s="17"/>
      <c r="AS840" s="120"/>
      <c r="AT840" s="120"/>
      <c r="AY840" s="1"/>
    </row>
    <row r="841" spans="42:51">
      <c r="AP841" s="17"/>
      <c r="AQ841" s="17"/>
      <c r="AR841" s="17"/>
      <c r="AS841" s="120"/>
      <c r="AT841" s="120"/>
      <c r="AY841" s="1"/>
    </row>
    <row r="842" spans="42:51">
      <c r="AP842" s="17"/>
      <c r="AQ842" s="17"/>
      <c r="AR842" s="17"/>
      <c r="AS842" s="120"/>
      <c r="AT842" s="120"/>
      <c r="AY842" s="1"/>
    </row>
    <row r="843" spans="42:51">
      <c r="AP843" s="17"/>
      <c r="AQ843" s="17"/>
      <c r="AR843" s="17"/>
      <c r="AS843" s="120"/>
      <c r="AT843" s="120"/>
      <c r="AY843" s="1"/>
    </row>
    <row r="844" spans="42:51">
      <c r="AP844" s="17"/>
      <c r="AQ844" s="17"/>
      <c r="AR844" s="17"/>
      <c r="AS844" s="120"/>
      <c r="AT844" s="120"/>
      <c r="AY844" s="1"/>
    </row>
    <row r="845" spans="42:51">
      <c r="AP845" s="17"/>
      <c r="AQ845" s="17"/>
      <c r="AR845" s="17"/>
      <c r="AS845" s="120"/>
      <c r="AT845" s="120"/>
      <c r="AY845" s="1"/>
    </row>
    <row r="846" spans="42:51">
      <c r="AP846" s="17"/>
      <c r="AQ846" s="17"/>
      <c r="AR846" s="17"/>
      <c r="AS846" s="120"/>
      <c r="AT846" s="120"/>
      <c r="AY846" s="1"/>
    </row>
    <row r="847" spans="42:51">
      <c r="AP847" s="17"/>
      <c r="AQ847" s="17"/>
      <c r="AR847" s="17"/>
      <c r="AS847" s="120"/>
      <c r="AT847" s="120"/>
      <c r="AY847" s="1"/>
    </row>
    <row r="848" spans="42:51">
      <c r="AP848" s="17"/>
      <c r="AQ848" s="17"/>
      <c r="AR848" s="17"/>
      <c r="AS848" s="120"/>
      <c r="AT848" s="120"/>
      <c r="AY848" s="1"/>
    </row>
    <row r="849" spans="42:51">
      <c r="AP849" s="17"/>
      <c r="AQ849" s="17"/>
      <c r="AR849" s="17"/>
      <c r="AS849" s="120"/>
      <c r="AT849" s="120"/>
      <c r="AY849" s="1"/>
    </row>
    <row r="850" spans="42:51">
      <c r="AP850" s="17"/>
      <c r="AQ850" s="17"/>
      <c r="AR850" s="17"/>
      <c r="AS850" s="120"/>
      <c r="AT850" s="120"/>
      <c r="AY850" s="1"/>
    </row>
    <row r="851" spans="42:51">
      <c r="AP851" s="17"/>
      <c r="AQ851" s="17"/>
      <c r="AR851" s="17"/>
      <c r="AS851" s="120"/>
      <c r="AT851" s="120"/>
      <c r="AY851" s="1"/>
    </row>
    <row r="852" spans="42:51">
      <c r="AP852" s="17"/>
      <c r="AQ852" s="17"/>
      <c r="AR852" s="17"/>
      <c r="AS852" s="120"/>
      <c r="AT852" s="120"/>
      <c r="AY852" s="1"/>
    </row>
    <row r="853" spans="42:51">
      <c r="AP853" s="17"/>
      <c r="AQ853" s="17"/>
      <c r="AR853" s="17"/>
      <c r="AS853" s="120"/>
      <c r="AT853" s="120"/>
      <c r="AY853" s="1"/>
    </row>
    <row r="854" spans="42:51">
      <c r="AP854" s="17"/>
      <c r="AQ854" s="17"/>
      <c r="AR854" s="17"/>
      <c r="AS854" s="120"/>
      <c r="AT854" s="120"/>
      <c r="AY854" s="1"/>
    </row>
    <row r="855" spans="42:51">
      <c r="AP855" s="17"/>
      <c r="AQ855" s="17"/>
      <c r="AR855" s="17"/>
      <c r="AS855" s="120"/>
      <c r="AT855" s="120"/>
      <c r="AY855" s="1"/>
    </row>
    <row r="856" spans="42:51">
      <c r="AP856" s="17"/>
      <c r="AQ856" s="17"/>
      <c r="AR856" s="17"/>
      <c r="AS856" s="120"/>
      <c r="AT856" s="120"/>
      <c r="AY856" s="1"/>
    </row>
    <row r="857" spans="42:51">
      <c r="AP857" s="17"/>
      <c r="AQ857" s="17"/>
      <c r="AR857" s="17"/>
      <c r="AS857" s="120"/>
      <c r="AT857" s="120"/>
      <c r="AY857" s="1"/>
    </row>
    <row r="858" spans="42:51">
      <c r="AP858" s="17"/>
      <c r="AQ858" s="17"/>
      <c r="AR858" s="17"/>
      <c r="AS858" s="120"/>
      <c r="AT858" s="120"/>
      <c r="AY858" s="1"/>
    </row>
    <row r="859" spans="42:51">
      <c r="AP859" s="17"/>
      <c r="AQ859" s="17"/>
      <c r="AR859" s="17"/>
      <c r="AS859" s="120"/>
      <c r="AT859" s="120"/>
      <c r="AY859" s="1"/>
    </row>
    <row r="860" spans="42:51">
      <c r="AP860" s="17"/>
      <c r="AQ860" s="17"/>
      <c r="AR860" s="17"/>
      <c r="AS860" s="120"/>
      <c r="AT860" s="120"/>
      <c r="AY860" s="1"/>
    </row>
    <row r="861" spans="42:51">
      <c r="AP861" s="17"/>
      <c r="AQ861" s="17"/>
      <c r="AR861" s="17"/>
      <c r="AS861" s="120"/>
      <c r="AT861" s="120"/>
      <c r="AY861" s="1"/>
    </row>
    <row r="862" spans="42:51">
      <c r="AP862" s="17"/>
      <c r="AQ862" s="17"/>
      <c r="AR862" s="17"/>
      <c r="AS862" s="120"/>
      <c r="AT862" s="120"/>
      <c r="AY862" s="1"/>
    </row>
    <row r="863" spans="42:51">
      <c r="AP863" s="17"/>
      <c r="AQ863" s="17"/>
      <c r="AR863" s="17"/>
      <c r="AS863" s="120"/>
      <c r="AT863" s="120"/>
      <c r="AY863" s="1"/>
    </row>
    <row r="864" spans="42:51">
      <c r="AP864" s="17"/>
      <c r="AQ864" s="17"/>
      <c r="AR864" s="17"/>
      <c r="AS864" s="120"/>
      <c r="AT864" s="120"/>
      <c r="AY864" s="1"/>
    </row>
    <row r="865" spans="42:51">
      <c r="AP865" s="17"/>
      <c r="AQ865" s="17"/>
      <c r="AR865" s="17"/>
      <c r="AS865" s="120"/>
      <c r="AT865" s="120"/>
      <c r="AY865" s="1"/>
    </row>
    <row r="866" spans="42:51">
      <c r="AP866" s="17"/>
      <c r="AQ866" s="17"/>
      <c r="AR866" s="17"/>
      <c r="AS866" s="120"/>
      <c r="AT866" s="120"/>
      <c r="AY866" s="1"/>
    </row>
    <row r="867" spans="42:51">
      <c r="AP867" s="17"/>
      <c r="AQ867" s="17"/>
      <c r="AR867" s="17"/>
      <c r="AS867" s="120"/>
      <c r="AT867" s="120"/>
      <c r="AY867" s="1"/>
    </row>
    <row r="868" spans="42:51">
      <c r="AP868" s="17"/>
      <c r="AQ868" s="17"/>
      <c r="AR868" s="17"/>
      <c r="AS868" s="120"/>
      <c r="AT868" s="120"/>
      <c r="AY868" s="1"/>
    </row>
    <row r="869" spans="42:51">
      <c r="AP869" s="17"/>
      <c r="AQ869" s="17"/>
      <c r="AR869" s="17"/>
      <c r="AS869" s="120"/>
      <c r="AT869" s="120"/>
      <c r="AY869" s="1"/>
    </row>
    <row r="870" spans="42:51">
      <c r="AP870" s="17"/>
      <c r="AQ870" s="17"/>
      <c r="AR870" s="17"/>
      <c r="AS870" s="120"/>
      <c r="AT870" s="120"/>
      <c r="AY870" s="1"/>
    </row>
    <row r="871" spans="42:51">
      <c r="AP871" s="17"/>
      <c r="AQ871" s="17"/>
      <c r="AR871" s="17"/>
      <c r="AS871" s="120"/>
      <c r="AT871" s="120"/>
      <c r="AY871" s="1"/>
    </row>
    <row r="872" spans="42:51">
      <c r="AP872" s="17"/>
      <c r="AQ872" s="17"/>
      <c r="AR872" s="17"/>
      <c r="AS872" s="120"/>
      <c r="AT872" s="120"/>
      <c r="AY872" s="1"/>
    </row>
    <row r="873" spans="42:51">
      <c r="AP873" s="17"/>
      <c r="AQ873" s="17"/>
      <c r="AR873" s="17"/>
      <c r="AS873" s="120"/>
      <c r="AT873" s="120"/>
      <c r="AY873" s="1"/>
    </row>
    <row r="874" spans="42:51">
      <c r="AP874" s="17"/>
      <c r="AQ874" s="17"/>
      <c r="AR874" s="17"/>
      <c r="AS874" s="120"/>
      <c r="AT874" s="120"/>
      <c r="AY874" s="1"/>
    </row>
    <row r="875" spans="42:51">
      <c r="AP875" s="17"/>
      <c r="AQ875" s="17"/>
      <c r="AR875" s="17"/>
      <c r="AS875" s="120"/>
      <c r="AT875" s="120"/>
      <c r="AY875" s="1"/>
    </row>
    <row r="876" spans="42:51">
      <c r="AP876" s="17"/>
      <c r="AQ876" s="17"/>
      <c r="AR876" s="17"/>
      <c r="AS876" s="120"/>
      <c r="AT876" s="120"/>
      <c r="AY876" s="1"/>
    </row>
    <row r="877" spans="42:51">
      <c r="AP877" s="17"/>
      <c r="AQ877" s="17"/>
      <c r="AR877" s="17"/>
      <c r="AS877" s="120"/>
      <c r="AT877" s="120"/>
      <c r="AY877" s="1"/>
    </row>
    <row r="878" spans="42:51">
      <c r="AP878" s="17"/>
      <c r="AQ878" s="17"/>
      <c r="AR878" s="17"/>
      <c r="AS878" s="120"/>
      <c r="AT878" s="120"/>
      <c r="AY878" s="1"/>
    </row>
    <row r="879" spans="42:51">
      <c r="AP879" s="17"/>
      <c r="AQ879" s="17"/>
      <c r="AR879" s="17"/>
      <c r="AS879" s="120"/>
      <c r="AT879" s="120"/>
      <c r="AY879" s="1"/>
    </row>
    <row r="880" spans="42:51">
      <c r="AP880" s="17"/>
      <c r="AQ880" s="17"/>
      <c r="AR880" s="17"/>
      <c r="AS880" s="120"/>
      <c r="AT880" s="120"/>
      <c r="AY880" s="1"/>
    </row>
    <row r="881" spans="42:51">
      <c r="AP881" s="17"/>
      <c r="AQ881" s="17"/>
      <c r="AR881" s="17"/>
      <c r="AS881" s="120"/>
      <c r="AT881" s="120"/>
      <c r="AY881" s="1"/>
    </row>
    <row r="882" spans="42:51">
      <c r="AP882" s="17"/>
      <c r="AQ882" s="17"/>
      <c r="AR882" s="17"/>
      <c r="AS882" s="120"/>
      <c r="AT882" s="120"/>
      <c r="AY882" s="1"/>
    </row>
    <row r="883" spans="42:51">
      <c r="AP883" s="17"/>
      <c r="AQ883" s="17"/>
      <c r="AR883" s="17"/>
      <c r="AS883" s="120"/>
      <c r="AT883" s="120"/>
      <c r="AY883" s="1"/>
    </row>
    <row r="884" spans="42:51">
      <c r="AP884" s="17"/>
      <c r="AQ884" s="17"/>
      <c r="AR884" s="17"/>
      <c r="AS884" s="120"/>
      <c r="AT884" s="120"/>
      <c r="AY884" s="1"/>
    </row>
    <row r="885" spans="42:51">
      <c r="AP885" s="17"/>
      <c r="AQ885" s="17"/>
      <c r="AR885" s="17"/>
      <c r="AS885" s="120"/>
      <c r="AT885" s="120"/>
      <c r="AY885" s="1"/>
    </row>
    <row r="886" spans="42:51">
      <c r="AP886" s="17"/>
      <c r="AQ886" s="17"/>
      <c r="AR886" s="17"/>
      <c r="AS886" s="120"/>
      <c r="AT886" s="120"/>
      <c r="AY886" s="1"/>
    </row>
    <row r="887" spans="42:51">
      <c r="AP887" s="17"/>
      <c r="AQ887" s="17"/>
      <c r="AR887" s="17"/>
      <c r="AS887" s="120"/>
      <c r="AT887" s="120"/>
      <c r="AY887" s="1"/>
    </row>
    <row r="888" spans="42:51">
      <c r="AP888" s="17"/>
      <c r="AQ888" s="17"/>
      <c r="AR888" s="17"/>
      <c r="AS888" s="120"/>
      <c r="AT888" s="120"/>
      <c r="AY888" s="1"/>
    </row>
    <row r="889" spans="42:51">
      <c r="AP889" s="17"/>
      <c r="AQ889" s="17"/>
      <c r="AR889" s="17"/>
      <c r="AS889" s="120"/>
      <c r="AT889" s="120"/>
      <c r="AY889" s="1"/>
    </row>
    <row r="890" spans="42:51">
      <c r="AP890" s="17"/>
      <c r="AQ890" s="17"/>
      <c r="AR890" s="17"/>
      <c r="AS890" s="120"/>
      <c r="AT890" s="120"/>
      <c r="AY890" s="1"/>
    </row>
    <row r="891" spans="42:51">
      <c r="AP891" s="17"/>
      <c r="AQ891" s="17"/>
      <c r="AR891" s="17"/>
      <c r="AS891" s="120"/>
      <c r="AT891" s="120"/>
      <c r="AY891" s="1"/>
    </row>
    <row r="892" spans="42:51">
      <c r="AP892" s="17"/>
      <c r="AQ892" s="17"/>
      <c r="AR892" s="17"/>
      <c r="AS892" s="120"/>
      <c r="AT892" s="120"/>
      <c r="AY892" s="1"/>
    </row>
    <row r="893" spans="42:51">
      <c r="AP893" s="17"/>
      <c r="AQ893" s="17"/>
      <c r="AR893" s="17"/>
      <c r="AS893" s="120"/>
      <c r="AT893" s="120"/>
      <c r="AY893" s="1"/>
    </row>
    <row r="894" spans="42:51">
      <c r="AP894" s="17"/>
      <c r="AQ894" s="17"/>
      <c r="AR894" s="17"/>
      <c r="AS894" s="120"/>
      <c r="AT894" s="120"/>
      <c r="AY894" s="1"/>
    </row>
    <row r="895" spans="42:51">
      <c r="AP895" s="17"/>
      <c r="AQ895" s="17"/>
      <c r="AR895" s="17"/>
      <c r="AS895" s="120"/>
      <c r="AT895" s="120"/>
      <c r="AY895" s="1"/>
    </row>
    <row r="896" spans="42:51">
      <c r="AP896" s="17"/>
      <c r="AQ896" s="17"/>
      <c r="AR896" s="17"/>
      <c r="AS896" s="120"/>
      <c r="AT896" s="120"/>
      <c r="AY896" s="1"/>
    </row>
    <row r="897" spans="42:51">
      <c r="AP897" s="17"/>
      <c r="AQ897" s="17"/>
      <c r="AR897" s="17"/>
      <c r="AS897" s="120"/>
      <c r="AT897" s="120"/>
      <c r="AY897" s="1"/>
    </row>
    <row r="898" spans="42:51">
      <c r="AP898" s="17"/>
      <c r="AQ898" s="17"/>
      <c r="AR898" s="17"/>
      <c r="AS898" s="120"/>
      <c r="AT898" s="120"/>
      <c r="AY898" s="1"/>
    </row>
    <row r="899" spans="42:51">
      <c r="AP899" s="17"/>
      <c r="AQ899" s="17"/>
      <c r="AR899" s="17"/>
      <c r="AS899" s="120"/>
      <c r="AT899" s="120"/>
      <c r="AY899" s="1"/>
    </row>
    <row r="900" spans="42:51">
      <c r="AP900" s="17"/>
      <c r="AQ900" s="17"/>
      <c r="AR900" s="17"/>
      <c r="AS900" s="120"/>
      <c r="AT900" s="120"/>
      <c r="AY900" s="1"/>
    </row>
    <row r="901" spans="42:51">
      <c r="AP901" s="17"/>
      <c r="AQ901" s="17"/>
      <c r="AR901" s="17"/>
      <c r="AS901" s="120"/>
      <c r="AT901" s="120"/>
      <c r="AY901" s="1"/>
    </row>
    <row r="902" spans="42:51">
      <c r="AP902" s="17"/>
      <c r="AQ902" s="17"/>
      <c r="AR902" s="17"/>
      <c r="AS902" s="120"/>
      <c r="AT902" s="120"/>
      <c r="AY902" s="1"/>
    </row>
    <row r="903" spans="42:51">
      <c r="AP903" s="17"/>
      <c r="AQ903" s="17"/>
      <c r="AR903" s="17"/>
      <c r="AS903" s="120"/>
      <c r="AT903" s="120"/>
      <c r="AY903" s="1"/>
    </row>
    <row r="904" spans="42:51">
      <c r="AP904" s="17"/>
      <c r="AQ904" s="17"/>
      <c r="AR904" s="17"/>
      <c r="AS904" s="120"/>
      <c r="AT904" s="120"/>
      <c r="AY904" s="1"/>
    </row>
    <row r="905" spans="42:51">
      <c r="AP905" s="17"/>
      <c r="AQ905" s="17"/>
      <c r="AR905" s="17"/>
      <c r="AS905" s="120"/>
      <c r="AT905" s="120"/>
      <c r="AY905" s="1"/>
    </row>
    <row r="906" spans="42:51">
      <c r="AP906" s="17"/>
      <c r="AQ906" s="17"/>
      <c r="AR906" s="17"/>
      <c r="AS906" s="120"/>
      <c r="AT906" s="120"/>
      <c r="AY906" s="1"/>
    </row>
    <row r="907" spans="42:51">
      <c r="AP907" s="17"/>
      <c r="AQ907" s="17"/>
      <c r="AR907" s="17"/>
      <c r="AS907" s="120"/>
      <c r="AT907" s="120"/>
      <c r="AY907" s="1"/>
    </row>
    <row r="908" spans="42:51">
      <c r="AP908" s="17"/>
      <c r="AQ908" s="17"/>
      <c r="AR908" s="17"/>
      <c r="AS908" s="120"/>
      <c r="AT908" s="120"/>
      <c r="AY908" s="1"/>
    </row>
    <row r="909" spans="42:51">
      <c r="AP909" s="17"/>
      <c r="AQ909" s="17"/>
      <c r="AR909" s="17"/>
      <c r="AS909" s="120"/>
      <c r="AT909" s="120"/>
      <c r="AY909" s="1"/>
    </row>
    <row r="910" spans="42:51">
      <c r="AP910" s="17"/>
      <c r="AQ910" s="17"/>
      <c r="AR910" s="17"/>
      <c r="AS910" s="120"/>
      <c r="AT910" s="120"/>
      <c r="AY910" s="1"/>
    </row>
    <row r="911" spans="42:51">
      <c r="AP911" s="17"/>
      <c r="AQ911" s="17"/>
      <c r="AR911" s="17"/>
      <c r="AS911" s="120"/>
      <c r="AT911" s="120"/>
      <c r="AY911" s="1"/>
    </row>
    <row r="912" spans="42:51">
      <c r="AP912" s="17"/>
      <c r="AQ912" s="17"/>
      <c r="AR912" s="17"/>
      <c r="AS912" s="120"/>
      <c r="AT912" s="120"/>
      <c r="AY912" s="1"/>
    </row>
    <row r="913" spans="42:51">
      <c r="AP913" s="17"/>
      <c r="AQ913" s="17"/>
      <c r="AR913" s="17"/>
      <c r="AS913" s="120"/>
      <c r="AT913" s="120"/>
      <c r="AY913" s="1"/>
    </row>
    <row r="914" spans="42:51">
      <c r="AP914" s="17"/>
      <c r="AQ914" s="17"/>
      <c r="AR914" s="17"/>
      <c r="AS914" s="120"/>
      <c r="AT914" s="120"/>
      <c r="AY914" s="1"/>
    </row>
    <row r="915" spans="42:51">
      <c r="AP915" s="17"/>
      <c r="AQ915" s="17"/>
      <c r="AR915" s="17"/>
      <c r="AS915" s="120"/>
      <c r="AT915" s="120"/>
      <c r="AY915" s="1"/>
    </row>
    <row r="916" spans="42:51">
      <c r="AP916" s="17"/>
      <c r="AQ916" s="17"/>
      <c r="AR916" s="17"/>
      <c r="AS916" s="120"/>
      <c r="AT916" s="120"/>
      <c r="AY916" s="1"/>
    </row>
    <row r="917" spans="42:51">
      <c r="AP917" s="17"/>
      <c r="AQ917" s="17"/>
      <c r="AR917" s="17"/>
      <c r="AS917" s="120"/>
      <c r="AT917" s="120"/>
      <c r="AY917" s="1"/>
    </row>
    <row r="918" spans="42:51">
      <c r="AP918" s="17"/>
      <c r="AQ918" s="17"/>
      <c r="AR918" s="17"/>
      <c r="AS918" s="120"/>
      <c r="AT918" s="120"/>
      <c r="AY918" s="1"/>
    </row>
    <row r="919" spans="42:51">
      <c r="AP919" s="17"/>
      <c r="AQ919" s="17"/>
      <c r="AR919" s="17"/>
      <c r="AS919" s="120"/>
      <c r="AT919" s="120"/>
      <c r="AY919" s="1"/>
    </row>
    <row r="920" spans="42:51">
      <c r="AP920" s="17"/>
      <c r="AQ920" s="17"/>
      <c r="AR920" s="17"/>
      <c r="AS920" s="120"/>
      <c r="AT920" s="120"/>
      <c r="AY920" s="1"/>
    </row>
    <row r="921" spans="42:51">
      <c r="AP921" s="17"/>
      <c r="AQ921" s="17"/>
      <c r="AR921" s="17"/>
      <c r="AS921" s="120"/>
      <c r="AT921" s="120"/>
      <c r="AY921" s="1"/>
    </row>
    <row r="922" spans="42:51">
      <c r="AP922" s="17"/>
      <c r="AQ922" s="17"/>
      <c r="AR922" s="17"/>
      <c r="AS922" s="120"/>
      <c r="AT922" s="120"/>
      <c r="AY922" s="1"/>
    </row>
    <row r="923" spans="42:51">
      <c r="AP923" s="17"/>
      <c r="AQ923" s="17"/>
      <c r="AR923" s="17"/>
      <c r="AS923" s="120"/>
      <c r="AT923" s="120"/>
      <c r="AY923" s="1"/>
    </row>
    <row r="924" spans="42:51">
      <c r="AP924" s="17"/>
      <c r="AQ924" s="17"/>
      <c r="AR924" s="17"/>
      <c r="AS924" s="120"/>
      <c r="AT924" s="120"/>
      <c r="AY924" s="1"/>
    </row>
    <row r="925" spans="42:51">
      <c r="AP925" s="17"/>
      <c r="AQ925" s="17"/>
      <c r="AR925" s="17"/>
      <c r="AS925" s="120"/>
      <c r="AT925" s="120"/>
      <c r="AY925" s="1"/>
    </row>
    <row r="926" spans="42:51">
      <c r="AP926" s="17"/>
      <c r="AQ926" s="17"/>
      <c r="AR926" s="17"/>
      <c r="AS926" s="120"/>
      <c r="AT926" s="120"/>
      <c r="AY926" s="1"/>
    </row>
    <row r="927" spans="42:51">
      <c r="AP927" s="17"/>
      <c r="AQ927" s="17"/>
      <c r="AR927" s="17"/>
      <c r="AS927" s="120"/>
      <c r="AT927" s="120"/>
      <c r="AY927" s="1"/>
    </row>
    <row r="928" spans="42:51">
      <c r="AP928" s="17"/>
      <c r="AQ928" s="17"/>
      <c r="AR928" s="17"/>
      <c r="AS928" s="120"/>
      <c r="AT928" s="120"/>
      <c r="AY928" s="1"/>
    </row>
    <row r="929" spans="42:51">
      <c r="AP929" s="17"/>
      <c r="AQ929" s="17"/>
      <c r="AR929" s="17"/>
      <c r="AS929" s="120"/>
      <c r="AT929" s="120"/>
      <c r="AY929" s="1"/>
    </row>
    <row r="930" spans="42:51">
      <c r="AP930" s="17"/>
      <c r="AQ930" s="17"/>
      <c r="AR930" s="17"/>
      <c r="AS930" s="120"/>
      <c r="AT930" s="120"/>
      <c r="AY930" s="1"/>
    </row>
    <row r="931" spans="42:51">
      <c r="AP931" s="17"/>
      <c r="AQ931" s="17"/>
      <c r="AR931" s="17"/>
      <c r="AS931" s="120"/>
      <c r="AT931" s="120"/>
      <c r="AY931" s="1"/>
    </row>
    <row r="932" spans="42:51">
      <c r="AP932" s="17"/>
      <c r="AQ932" s="17"/>
      <c r="AR932" s="17"/>
      <c r="AS932" s="120"/>
      <c r="AT932" s="120"/>
      <c r="AY932" s="1"/>
    </row>
    <row r="933" spans="42:51">
      <c r="AP933" s="17"/>
      <c r="AQ933" s="17"/>
      <c r="AR933" s="17"/>
      <c r="AS933" s="120"/>
      <c r="AT933" s="120"/>
      <c r="AY933" s="1"/>
    </row>
    <row r="934" spans="42:51">
      <c r="AP934" s="17"/>
      <c r="AQ934" s="17"/>
      <c r="AR934" s="17"/>
      <c r="AS934" s="120"/>
      <c r="AT934" s="120"/>
      <c r="AY934" s="1"/>
    </row>
    <row r="935" spans="42:51">
      <c r="AP935" s="17"/>
      <c r="AQ935" s="17"/>
      <c r="AR935" s="17"/>
      <c r="AS935" s="120"/>
      <c r="AT935" s="120"/>
      <c r="AY935" s="1"/>
    </row>
    <row r="936" spans="42:51">
      <c r="AP936" s="17"/>
      <c r="AQ936" s="17"/>
      <c r="AR936" s="17"/>
      <c r="AS936" s="120"/>
      <c r="AT936" s="120"/>
      <c r="AY936" s="1"/>
    </row>
    <row r="937" spans="42:51">
      <c r="AP937" s="17"/>
      <c r="AQ937" s="17"/>
      <c r="AR937" s="17"/>
      <c r="AS937" s="120"/>
      <c r="AT937" s="120"/>
      <c r="AY937" s="1"/>
    </row>
    <row r="938" spans="42:51">
      <c r="AP938" s="17"/>
      <c r="AQ938" s="17"/>
      <c r="AR938" s="17"/>
      <c r="AS938" s="120"/>
      <c r="AT938" s="120"/>
      <c r="AY938" s="1"/>
    </row>
    <row r="939" spans="42:51">
      <c r="AP939" s="17"/>
      <c r="AQ939" s="17"/>
      <c r="AR939" s="17"/>
      <c r="AS939" s="120"/>
      <c r="AT939" s="120"/>
      <c r="AY939" s="1"/>
    </row>
    <row r="940" spans="42:51">
      <c r="AP940" s="17"/>
      <c r="AQ940" s="17"/>
      <c r="AR940" s="17"/>
      <c r="AS940" s="120"/>
      <c r="AT940" s="120"/>
      <c r="AY940" s="1"/>
    </row>
    <row r="941" spans="42:51">
      <c r="AP941" s="17"/>
      <c r="AQ941" s="17"/>
      <c r="AR941" s="17"/>
      <c r="AS941" s="120"/>
      <c r="AT941" s="120"/>
      <c r="AY941" s="1"/>
    </row>
    <row r="942" spans="42:51">
      <c r="AP942" s="17"/>
      <c r="AQ942" s="17"/>
      <c r="AR942" s="17"/>
      <c r="AS942" s="120"/>
      <c r="AT942" s="120"/>
      <c r="AY942" s="1"/>
    </row>
    <row r="943" spans="42:51">
      <c r="AP943" s="17"/>
      <c r="AQ943" s="17"/>
      <c r="AR943" s="17"/>
      <c r="AS943" s="120"/>
      <c r="AT943" s="120"/>
      <c r="AY943" s="1"/>
    </row>
    <row r="944" spans="42:51">
      <c r="AP944" s="17"/>
      <c r="AQ944" s="17"/>
      <c r="AR944" s="17"/>
      <c r="AS944" s="120"/>
      <c r="AT944" s="120"/>
      <c r="AY944" s="1"/>
    </row>
    <row r="945" spans="42:51">
      <c r="AP945" s="17"/>
      <c r="AQ945" s="17"/>
      <c r="AR945" s="17"/>
      <c r="AS945" s="120"/>
      <c r="AT945" s="120"/>
      <c r="AY945" s="1"/>
    </row>
    <row r="946" spans="42:51">
      <c r="AP946" s="17"/>
      <c r="AQ946" s="17"/>
      <c r="AR946" s="17"/>
      <c r="AS946" s="120"/>
      <c r="AT946" s="120"/>
      <c r="AY946" s="1"/>
    </row>
    <row r="947" spans="42:51">
      <c r="AP947" s="17"/>
      <c r="AQ947" s="17"/>
      <c r="AR947" s="17"/>
      <c r="AS947" s="120"/>
      <c r="AT947" s="120"/>
      <c r="AY947" s="1"/>
    </row>
    <row r="948" spans="42:51">
      <c r="AP948" s="17"/>
      <c r="AQ948" s="17"/>
      <c r="AR948" s="17"/>
      <c r="AS948" s="120"/>
      <c r="AT948" s="120"/>
      <c r="AY948" s="1"/>
    </row>
    <row r="949" spans="42:51">
      <c r="AP949" s="17"/>
      <c r="AQ949" s="17"/>
      <c r="AR949" s="17"/>
      <c r="AS949" s="120"/>
      <c r="AT949" s="120"/>
      <c r="AY949" s="1"/>
    </row>
    <row r="950" spans="42:51">
      <c r="AP950" s="17"/>
      <c r="AQ950" s="17"/>
      <c r="AR950" s="17"/>
      <c r="AS950" s="120"/>
      <c r="AT950" s="120"/>
      <c r="AY950" s="1"/>
    </row>
    <row r="951" spans="42:51">
      <c r="AP951" s="17"/>
      <c r="AQ951" s="17"/>
      <c r="AR951" s="17"/>
      <c r="AS951" s="120"/>
      <c r="AT951" s="120"/>
      <c r="AY951" s="1"/>
    </row>
    <row r="952" spans="42:51">
      <c r="AP952" s="17"/>
      <c r="AQ952" s="17"/>
      <c r="AR952" s="17"/>
      <c r="AS952" s="120"/>
      <c r="AT952" s="120"/>
      <c r="AY952" s="1"/>
    </row>
    <row r="953" spans="42:51">
      <c r="AP953" s="17"/>
      <c r="AQ953" s="17"/>
      <c r="AR953" s="17"/>
      <c r="AS953" s="120"/>
      <c r="AT953" s="120"/>
      <c r="AY953" s="1"/>
    </row>
    <row r="954" spans="42:51">
      <c r="AP954" s="17"/>
      <c r="AQ954" s="17"/>
      <c r="AR954" s="17"/>
      <c r="AS954" s="120"/>
      <c r="AT954" s="120"/>
      <c r="AY954" s="1"/>
    </row>
    <row r="955" spans="42:51">
      <c r="AP955" s="17"/>
      <c r="AQ955" s="17"/>
      <c r="AR955" s="17"/>
      <c r="AS955" s="120"/>
      <c r="AT955" s="120"/>
      <c r="AY955" s="1"/>
    </row>
    <row r="956" spans="42:51">
      <c r="AP956" s="17"/>
      <c r="AQ956" s="17"/>
      <c r="AR956" s="17"/>
      <c r="AS956" s="120"/>
      <c r="AT956" s="120"/>
      <c r="AY956" s="1"/>
    </row>
    <row r="957" spans="42:51">
      <c r="AP957" s="17"/>
      <c r="AQ957" s="17"/>
      <c r="AR957" s="17"/>
      <c r="AS957" s="120"/>
      <c r="AT957" s="120"/>
      <c r="AY957" s="1"/>
    </row>
    <row r="958" spans="42:51">
      <c r="AP958" s="17"/>
      <c r="AQ958" s="17"/>
      <c r="AR958" s="17"/>
      <c r="AS958" s="120"/>
      <c r="AT958" s="120"/>
      <c r="AY958" s="1"/>
    </row>
    <row r="959" spans="42:51">
      <c r="AP959" s="17"/>
      <c r="AQ959" s="17"/>
      <c r="AR959" s="17"/>
      <c r="AS959" s="120"/>
      <c r="AT959" s="120"/>
      <c r="AY959" s="1"/>
    </row>
    <row r="960" spans="42:51">
      <c r="AP960" s="17"/>
      <c r="AQ960" s="17"/>
      <c r="AR960" s="17"/>
      <c r="AS960" s="120"/>
      <c r="AT960" s="120"/>
      <c r="AY960" s="1"/>
    </row>
    <row r="961" spans="42:51">
      <c r="AP961" s="17"/>
      <c r="AQ961" s="17"/>
      <c r="AR961" s="17"/>
      <c r="AS961" s="120"/>
      <c r="AT961" s="120"/>
      <c r="AY961" s="1"/>
    </row>
    <row r="962" spans="42:51">
      <c r="AP962" s="17"/>
      <c r="AQ962" s="17"/>
      <c r="AR962" s="17"/>
      <c r="AS962" s="120"/>
      <c r="AT962" s="120"/>
      <c r="AY962" s="1"/>
    </row>
    <row r="963" spans="42:51">
      <c r="AP963" s="17"/>
      <c r="AQ963" s="17"/>
      <c r="AR963" s="17"/>
      <c r="AS963" s="120"/>
      <c r="AT963" s="120"/>
      <c r="AY963" s="1"/>
    </row>
    <row r="964" spans="42:51">
      <c r="AP964" s="17"/>
      <c r="AQ964" s="17"/>
      <c r="AR964" s="17"/>
      <c r="AS964" s="120"/>
      <c r="AT964" s="120"/>
      <c r="AY964" s="1"/>
    </row>
    <row r="965" spans="42:51">
      <c r="AP965" s="17"/>
      <c r="AQ965" s="17"/>
      <c r="AR965" s="17"/>
      <c r="AS965" s="120"/>
      <c r="AT965" s="120"/>
      <c r="AY965" s="1"/>
    </row>
    <row r="966" spans="42:51">
      <c r="AP966" s="17"/>
      <c r="AQ966" s="17"/>
      <c r="AR966" s="17"/>
      <c r="AS966" s="120"/>
      <c r="AT966" s="120"/>
      <c r="AY966" s="1"/>
    </row>
    <row r="967" spans="42:51">
      <c r="AP967" s="17"/>
      <c r="AQ967" s="17"/>
      <c r="AR967" s="17"/>
      <c r="AS967" s="120"/>
      <c r="AT967" s="120"/>
      <c r="AY967" s="1"/>
    </row>
    <row r="968" spans="42:51">
      <c r="AP968" s="17"/>
      <c r="AQ968" s="17"/>
      <c r="AR968" s="17"/>
      <c r="AS968" s="120"/>
      <c r="AT968" s="120"/>
      <c r="AY968" s="1"/>
    </row>
    <row r="969" spans="42:51">
      <c r="AP969" s="17"/>
      <c r="AQ969" s="17"/>
      <c r="AR969" s="17"/>
      <c r="AS969" s="120"/>
      <c r="AT969" s="120"/>
      <c r="AY969" s="1"/>
    </row>
    <row r="970" spans="42:51">
      <c r="AP970" s="17"/>
      <c r="AQ970" s="17"/>
      <c r="AR970" s="17"/>
      <c r="AS970" s="120"/>
      <c r="AT970" s="120"/>
      <c r="AY970" s="1"/>
    </row>
    <row r="971" spans="42:51">
      <c r="AP971" s="17"/>
      <c r="AQ971" s="17"/>
      <c r="AR971" s="17"/>
      <c r="AS971" s="120"/>
      <c r="AT971" s="120"/>
      <c r="AY971" s="1"/>
    </row>
    <row r="972" spans="42:51">
      <c r="AP972" s="17"/>
      <c r="AQ972" s="17"/>
      <c r="AR972" s="17"/>
      <c r="AS972" s="120"/>
      <c r="AT972" s="120"/>
      <c r="AY972" s="1"/>
    </row>
    <row r="973" spans="42:51">
      <c r="AP973" s="17"/>
      <c r="AQ973" s="17"/>
      <c r="AR973" s="17"/>
      <c r="AS973" s="120"/>
      <c r="AT973" s="120"/>
      <c r="AY973" s="1"/>
    </row>
    <row r="974" spans="42:51">
      <c r="AP974" s="17"/>
      <c r="AQ974" s="17"/>
      <c r="AR974" s="17"/>
      <c r="AS974" s="120"/>
      <c r="AT974" s="120"/>
      <c r="AY974" s="1"/>
    </row>
    <row r="975" spans="42:51">
      <c r="AP975" s="17"/>
      <c r="AQ975" s="17"/>
      <c r="AR975" s="17"/>
      <c r="AS975" s="120"/>
      <c r="AT975" s="120"/>
      <c r="AY975" s="1"/>
    </row>
    <row r="976" spans="42:51">
      <c r="AP976" s="17"/>
      <c r="AQ976" s="17"/>
      <c r="AR976" s="17"/>
      <c r="AS976" s="120"/>
      <c r="AT976" s="120"/>
      <c r="AY976" s="1"/>
    </row>
    <row r="977" spans="42:51">
      <c r="AP977" s="17"/>
      <c r="AQ977" s="17"/>
      <c r="AR977" s="17"/>
      <c r="AS977" s="120"/>
      <c r="AT977" s="120"/>
      <c r="AY977" s="1"/>
    </row>
    <row r="978" spans="42:51">
      <c r="AP978" s="17"/>
      <c r="AQ978" s="17"/>
      <c r="AR978" s="17"/>
      <c r="AS978" s="120"/>
      <c r="AT978" s="120"/>
      <c r="AY978" s="1"/>
    </row>
    <row r="979" spans="42:51">
      <c r="AP979" s="17"/>
      <c r="AQ979" s="17"/>
      <c r="AR979" s="17"/>
      <c r="AS979" s="120"/>
      <c r="AT979" s="120"/>
      <c r="AY979" s="1"/>
    </row>
    <row r="980" spans="42:51">
      <c r="AP980" s="17"/>
      <c r="AQ980" s="17"/>
      <c r="AR980" s="17"/>
      <c r="AS980" s="120"/>
      <c r="AT980" s="120"/>
      <c r="AY980" s="1"/>
    </row>
    <row r="981" spans="42:51">
      <c r="AP981" s="17"/>
      <c r="AQ981" s="17"/>
      <c r="AR981" s="17"/>
      <c r="AS981" s="120"/>
      <c r="AT981" s="120"/>
      <c r="AY981" s="1"/>
    </row>
    <row r="982" spans="42:51">
      <c r="AP982" s="17"/>
      <c r="AQ982" s="17"/>
      <c r="AR982" s="17"/>
      <c r="AS982" s="120"/>
      <c r="AT982" s="120"/>
      <c r="AY982" s="1"/>
    </row>
    <row r="983" spans="42:51">
      <c r="AP983" s="17"/>
      <c r="AQ983" s="17"/>
      <c r="AR983" s="17"/>
      <c r="AS983" s="120"/>
      <c r="AT983" s="120"/>
      <c r="AY983" s="1"/>
    </row>
    <row r="984" spans="42:51">
      <c r="AP984" s="17"/>
      <c r="AQ984" s="17"/>
      <c r="AR984" s="17"/>
      <c r="AS984" s="120"/>
      <c r="AT984" s="120"/>
      <c r="AY984" s="1"/>
    </row>
    <row r="985" spans="42:51">
      <c r="AP985" s="17"/>
      <c r="AQ985" s="17"/>
      <c r="AR985" s="17"/>
      <c r="AS985" s="120"/>
      <c r="AT985" s="120"/>
      <c r="AY985" s="1"/>
    </row>
    <row r="986" spans="42:51">
      <c r="AP986" s="17"/>
      <c r="AQ986" s="17"/>
      <c r="AR986" s="17"/>
      <c r="AS986" s="120"/>
      <c r="AT986" s="120"/>
      <c r="AY986" s="1"/>
    </row>
    <row r="987" spans="42:51">
      <c r="AP987" s="17"/>
      <c r="AQ987" s="17"/>
      <c r="AR987" s="17"/>
      <c r="AS987" s="120"/>
      <c r="AT987" s="120"/>
      <c r="AY987" s="1"/>
    </row>
    <row r="988" spans="42:51">
      <c r="AP988" s="17"/>
      <c r="AQ988" s="17"/>
      <c r="AR988" s="17"/>
      <c r="AS988" s="120"/>
      <c r="AT988" s="120"/>
      <c r="AY988" s="1"/>
    </row>
    <row r="989" spans="42:51">
      <c r="AP989" s="17"/>
      <c r="AQ989" s="17"/>
      <c r="AR989" s="17"/>
      <c r="AS989" s="120"/>
      <c r="AT989" s="120"/>
      <c r="AY989" s="1"/>
    </row>
    <row r="990" spans="42:51">
      <c r="AP990" s="17"/>
      <c r="AQ990" s="17"/>
      <c r="AR990" s="17"/>
      <c r="AS990" s="120"/>
      <c r="AT990" s="120"/>
      <c r="AY990" s="1"/>
    </row>
    <row r="991" spans="42:51">
      <c r="AP991" s="17"/>
      <c r="AQ991" s="17"/>
      <c r="AR991" s="17"/>
      <c r="AS991" s="120"/>
      <c r="AT991" s="120"/>
      <c r="AY991" s="1"/>
    </row>
    <row r="992" spans="42:51">
      <c r="AP992" s="17"/>
      <c r="AQ992" s="17"/>
      <c r="AR992" s="17"/>
      <c r="AS992" s="120"/>
      <c r="AT992" s="120"/>
      <c r="AY992" s="1"/>
    </row>
    <row r="993" spans="42:51">
      <c r="AP993" s="17"/>
      <c r="AQ993" s="17"/>
      <c r="AR993" s="17"/>
      <c r="AS993" s="120"/>
      <c r="AT993" s="120"/>
      <c r="AY993" s="1"/>
    </row>
    <row r="994" spans="42:51">
      <c r="AP994" s="17"/>
      <c r="AQ994" s="17"/>
      <c r="AR994" s="17"/>
      <c r="AS994" s="120"/>
      <c r="AT994" s="120"/>
      <c r="AY994" s="1"/>
    </row>
    <row r="995" spans="42:51">
      <c r="AP995" s="17"/>
      <c r="AQ995" s="17"/>
      <c r="AR995" s="17"/>
      <c r="AS995" s="120"/>
      <c r="AT995" s="120"/>
      <c r="AY995" s="1"/>
    </row>
    <row r="996" spans="42:51">
      <c r="AP996" s="17"/>
      <c r="AQ996" s="17"/>
      <c r="AR996" s="17"/>
      <c r="AS996" s="120"/>
      <c r="AT996" s="120"/>
      <c r="AY996" s="1"/>
    </row>
    <row r="997" spans="42:51">
      <c r="AP997" s="17"/>
      <c r="AQ997" s="17"/>
      <c r="AR997" s="17"/>
      <c r="AS997" s="120"/>
      <c r="AT997" s="120"/>
      <c r="AY997" s="1"/>
    </row>
    <row r="998" spans="42:51">
      <c r="AP998" s="17"/>
      <c r="AQ998" s="17"/>
      <c r="AR998" s="17"/>
      <c r="AS998" s="120"/>
      <c r="AT998" s="120"/>
      <c r="AY998" s="1"/>
    </row>
    <row r="999" spans="42:51">
      <c r="AP999" s="17"/>
      <c r="AQ999" s="17"/>
      <c r="AR999" s="17"/>
      <c r="AS999" s="120"/>
      <c r="AT999" s="120"/>
      <c r="AY999" s="1"/>
    </row>
    <row r="1000" spans="42:51">
      <c r="AP1000" s="17"/>
      <c r="AQ1000" s="17"/>
      <c r="AR1000" s="17"/>
      <c r="AS1000" s="120"/>
      <c r="AT1000" s="120"/>
      <c r="AY1000" s="1"/>
    </row>
    <row r="1001" spans="42:51">
      <c r="AP1001" s="17"/>
      <c r="AQ1001" s="17"/>
      <c r="AR1001" s="17"/>
      <c r="AS1001" s="120"/>
      <c r="AT1001" s="120"/>
      <c r="AY1001" s="1"/>
    </row>
    <row r="1002" spans="42:51">
      <c r="AP1002" s="17"/>
      <c r="AQ1002" s="17"/>
      <c r="AR1002" s="17"/>
      <c r="AS1002" s="120"/>
      <c r="AT1002" s="120"/>
      <c r="AY1002" s="1"/>
    </row>
    <row r="1003" spans="42:51">
      <c r="AP1003" s="17"/>
      <c r="AQ1003" s="17"/>
      <c r="AR1003" s="17"/>
      <c r="AS1003" s="120"/>
      <c r="AT1003" s="120"/>
      <c r="AY1003" s="1"/>
    </row>
    <row r="1004" spans="42:51">
      <c r="AP1004" s="17"/>
      <c r="AQ1004" s="17"/>
      <c r="AR1004" s="17"/>
      <c r="AS1004" s="120"/>
      <c r="AT1004" s="120"/>
      <c r="AY1004" s="1"/>
    </row>
    <row r="1005" spans="42:51">
      <c r="AP1005" s="17"/>
      <c r="AQ1005" s="17"/>
      <c r="AR1005" s="17"/>
      <c r="AS1005" s="120"/>
      <c r="AT1005" s="120"/>
      <c r="AY1005" s="1"/>
    </row>
    <row r="1006" spans="42:51">
      <c r="AP1006" s="17"/>
      <c r="AQ1006" s="17"/>
      <c r="AR1006" s="17"/>
      <c r="AS1006" s="120"/>
      <c r="AT1006" s="120"/>
      <c r="AY1006" s="1"/>
    </row>
    <row r="1007" spans="42:51">
      <c r="AP1007" s="17"/>
      <c r="AQ1007" s="17"/>
      <c r="AR1007" s="17"/>
      <c r="AS1007" s="120"/>
      <c r="AT1007" s="120"/>
      <c r="AY1007" s="1"/>
    </row>
    <row r="1008" spans="42:51">
      <c r="AP1008" s="17"/>
      <c r="AQ1008" s="17"/>
      <c r="AR1008" s="17"/>
      <c r="AS1008" s="120"/>
      <c r="AT1008" s="120"/>
      <c r="AY1008" s="1"/>
    </row>
    <row r="1009" spans="42:51">
      <c r="AP1009" s="17"/>
      <c r="AQ1009" s="17"/>
      <c r="AR1009" s="17"/>
      <c r="AS1009" s="120"/>
      <c r="AT1009" s="120"/>
      <c r="AY1009" s="1"/>
    </row>
    <row r="1010" spans="42:51">
      <c r="AP1010" s="17"/>
      <c r="AQ1010" s="17"/>
      <c r="AR1010" s="17"/>
      <c r="AS1010" s="120"/>
      <c r="AT1010" s="120"/>
      <c r="AY1010" s="1"/>
    </row>
    <row r="1011" spans="42:51">
      <c r="AP1011" s="17"/>
      <c r="AQ1011" s="17"/>
      <c r="AR1011" s="17"/>
      <c r="AS1011" s="120"/>
      <c r="AT1011" s="120"/>
      <c r="AY1011" s="1"/>
    </row>
    <row r="1012" spans="42:51">
      <c r="AP1012" s="17"/>
      <c r="AQ1012" s="17"/>
      <c r="AR1012" s="17"/>
      <c r="AS1012" s="120"/>
      <c r="AT1012" s="120"/>
      <c r="AY1012" s="1"/>
    </row>
    <row r="1013" spans="42:51">
      <c r="AP1013" s="17"/>
      <c r="AQ1013" s="17"/>
      <c r="AR1013" s="17"/>
      <c r="AS1013" s="120"/>
      <c r="AT1013" s="120"/>
      <c r="AY1013" s="1"/>
    </row>
    <row r="1014" spans="42:51">
      <c r="AP1014" s="17"/>
      <c r="AQ1014" s="17"/>
      <c r="AR1014" s="17"/>
      <c r="AS1014" s="120"/>
      <c r="AT1014" s="120"/>
      <c r="AY1014" s="1"/>
    </row>
    <row r="1015" spans="42:51">
      <c r="AP1015" s="17"/>
      <c r="AQ1015" s="17"/>
      <c r="AR1015" s="17"/>
      <c r="AS1015" s="120"/>
      <c r="AT1015" s="120"/>
      <c r="AY1015" s="1"/>
    </row>
    <row r="1016" spans="42:51">
      <c r="AP1016" s="17"/>
      <c r="AQ1016" s="17"/>
      <c r="AR1016" s="17"/>
      <c r="AS1016" s="120"/>
      <c r="AT1016" s="120"/>
      <c r="AY1016" s="1"/>
    </row>
    <row r="1017" spans="42:51">
      <c r="AP1017" s="17"/>
      <c r="AQ1017" s="17"/>
      <c r="AR1017" s="17"/>
      <c r="AS1017" s="120"/>
      <c r="AT1017" s="120"/>
      <c r="AY1017" s="1"/>
    </row>
    <row r="1018" spans="42:51">
      <c r="AP1018" s="17"/>
      <c r="AQ1018" s="17"/>
      <c r="AR1018" s="17"/>
      <c r="AS1018" s="120"/>
      <c r="AT1018" s="120"/>
      <c r="AY1018" s="1"/>
    </row>
    <row r="1019" spans="42:51">
      <c r="AP1019" s="17"/>
      <c r="AQ1019" s="17"/>
      <c r="AR1019" s="17"/>
      <c r="AS1019" s="120"/>
      <c r="AT1019" s="120"/>
      <c r="AY1019" s="1"/>
    </row>
    <row r="1020" spans="42:51">
      <c r="AP1020" s="17"/>
      <c r="AQ1020" s="17"/>
      <c r="AR1020" s="17"/>
      <c r="AS1020" s="120"/>
      <c r="AT1020" s="120"/>
      <c r="AY1020" s="1"/>
    </row>
    <row r="1021" spans="42:51">
      <c r="AP1021" s="17"/>
      <c r="AQ1021" s="17"/>
      <c r="AR1021" s="17"/>
      <c r="AS1021" s="120"/>
      <c r="AT1021" s="120"/>
      <c r="AY1021" s="1"/>
    </row>
    <row r="1022" spans="42:51">
      <c r="AP1022" s="17"/>
      <c r="AQ1022" s="17"/>
      <c r="AR1022" s="17"/>
      <c r="AS1022" s="120"/>
      <c r="AT1022" s="120"/>
      <c r="AY1022" s="1"/>
    </row>
    <row r="1023" spans="42:51">
      <c r="AP1023" s="17"/>
      <c r="AQ1023" s="17"/>
      <c r="AR1023" s="17"/>
      <c r="AS1023" s="120"/>
      <c r="AT1023" s="120"/>
      <c r="AY1023" s="1"/>
    </row>
    <row r="1024" spans="42:51">
      <c r="AP1024" s="17"/>
      <c r="AQ1024" s="17"/>
      <c r="AR1024" s="17"/>
      <c r="AS1024" s="120"/>
      <c r="AT1024" s="120"/>
      <c r="AY1024" s="1"/>
    </row>
    <row r="1025" spans="42:51">
      <c r="AP1025" s="17"/>
      <c r="AQ1025" s="17"/>
      <c r="AR1025" s="17"/>
      <c r="AS1025" s="120"/>
      <c r="AT1025" s="120"/>
      <c r="AY1025" s="1"/>
    </row>
    <row r="1026" spans="42:51">
      <c r="AP1026" s="17"/>
      <c r="AQ1026" s="17"/>
      <c r="AR1026" s="17"/>
      <c r="AS1026" s="120"/>
      <c r="AT1026" s="120"/>
      <c r="AY1026" s="1"/>
    </row>
    <row r="1027" spans="42:51">
      <c r="AP1027" s="17"/>
      <c r="AQ1027" s="17"/>
      <c r="AR1027" s="17"/>
      <c r="AS1027" s="120"/>
      <c r="AT1027" s="120"/>
      <c r="AY1027" s="1"/>
    </row>
    <row r="1028" spans="42:51">
      <c r="AP1028" s="17"/>
      <c r="AQ1028" s="17"/>
      <c r="AR1028" s="17"/>
      <c r="AS1028" s="120"/>
      <c r="AT1028" s="120"/>
      <c r="AY1028" s="1"/>
    </row>
    <row r="1029" spans="42:51">
      <c r="AP1029" s="17"/>
      <c r="AQ1029" s="17"/>
      <c r="AR1029" s="17"/>
      <c r="AS1029" s="120"/>
      <c r="AT1029" s="120"/>
      <c r="AY1029" s="1"/>
    </row>
    <row r="1030" spans="42:51">
      <c r="AP1030" s="17"/>
      <c r="AQ1030" s="17"/>
      <c r="AR1030" s="17"/>
      <c r="AS1030" s="120"/>
      <c r="AT1030" s="120"/>
      <c r="AY1030" s="1"/>
    </row>
    <row r="1031" spans="42:51">
      <c r="AP1031" s="17"/>
      <c r="AQ1031" s="17"/>
      <c r="AR1031" s="17"/>
      <c r="AS1031" s="120"/>
      <c r="AT1031" s="120"/>
      <c r="AY1031" s="1"/>
    </row>
    <row r="1032" spans="42:51">
      <c r="AP1032" s="17"/>
      <c r="AQ1032" s="17"/>
      <c r="AR1032" s="17"/>
      <c r="AS1032" s="120"/>
      <c r="AT1032" s="120"/>
      <c r="AY1032" s="1"/>
    </row>
    <row r="1033" spans="42:51">
      <c r="AP1033" s="17"/>
      <c r="AQ1033" s="17"/>
      <c r="AR1033" s="17"/>
      <c r="AS1033" s="120"/>
      <c r="AT1033" s="120"/>
      <c r="AY1033" s="1"/>
    </row>
    <row r="1034" spans="42:51">
      <c r="AP1034" s="17"/>
      <c r="AQ1034" s="17"/>
      <c r="AR1034" s="17"/>
      <c r="AS1034" s="120"/>
      <c r="AT1034" s="120"/>
      <c r="AY1034" s="1"/>
    </row>
    <row r="1035" spans="42:51">
      <c r="AP1035" s="17"/>
      <c r="AQ1035" s="17"/>
      <c r="AR1035" s="17"/>
      <c r="AS1035" s="120"/>
      <c r="AT1035" s="120"/>
      <c r="AY1035" s="1"/>
    </row>
    <row r="1036" spans="42:51">
      <c r="AP1036" s="17"/>
      <c r="AQ1036" s="17"/>
      <c r="AR1036" s="17"/>
      <c r="AS1036" s="120"/>
      <c r="AT1036" s="120"/>
      <c r="AY1036" s="1"/>
    </row>
    <row r="1037" spans="42:51">
      <c r="AP1037" s="17"/>
      <c r="AQ1037" s="17"/>
      <c r="AR1037" s="17"/>
      <c r="AS1037" s="120"/>
      <c r="AT1037" s="120"/>
      <c r="AY1037" s="1"/>
    </row>
    <row r="1038" spans="42:51">
      <c r="AP1038" s="17"/>
      <c r="AQ1038" s="17"/>
      <c r="AR1038" s="17"/>
      <c r="AS1038" s="120"/>
      <c r="AT1038" s="120"/>
      <c r="AY1038" s="1"/>
    </row>
    <row r="1039" spans="42:51">
      <c r="AP1039" s="17"/>
      <c r="AQ1039" s="17"/>
      <c r="AR1039" s="17"/>
      <c r="AS1039" s="120"/>
      <c r="AT1039" s="120"/>
      <c r="AY1039" s="1"/>
    </row>
    <row r="1040" spans="42:51">
      <c r="AP1040" s="17"/>
      <c r="AQ1040" s="17"/>
      <c r="AR1040" s="17"/>
      <c r="AS1040" s="120"/>
      <c r="AT1040" s="120"/>
      <c r="AY1040" s="1"/>
    </row>
    <row r="1041" spans="42:51">
      <c r="AP1041" s="17"/>
      <c r="AQ1041" s="17"/>
      <c r="AR1041" s="17"/>
      <c r="AS1041" s="120"/>
      <c r="AT1041" s="120"/>
      <c r="AY1041" s="1"/>
    </row>
    <row r="1042" spans="42:51">
      <c r="AP1042" s="17"/>
      <c r="AQ1042" s="17"/>
      <c r="AR1042" s="17"/>
      <c r="AS1042" s="120"/>
      <c r="AT1042" s="120"/>
      <c r="AY1042" s="1"/>
    </row>
    <row r="1043" spans="42:51">
      <c r="AP1043" s="17"/>
      <c r="AQ1043" s="17"/>
      <c r="AR1043" s="17"/>
      <c r="AS1043" s="120"/>
      <c r="AT1043" s="120"/>
      <c r="AY1043" s="1"/>
    </row>
    <row r="1044" spans="42:51">
      <c r="AP1044" s="17"/>
      <c r="AQ1044" s="17"/>
      <c r="AR1044" s="17"/>
      <c r="AS1044" s="120"/>
      <c r="AT1044" s="120"/>
      <c r="AY1044" s="1"/>
    </row>
    <row r="1045" spans="42:51">
      <c r="AP1045" s="17"/>
      <c r="AQ1045" s="17"/>
      <c r="AR1045" s="17"/>
      <c r="AS1045" s="120"/>
      <c r="AT1045" s="120"/>
      <c r="AY1045" s="1"/>
    </row>
    <row r="1046" spans="42:51">
      <c r="AP1046" s="17"/>
      <c r="AQ1046" s="17"/>
      <c r="AR1046" s="17"/>
      <c r="AS1046" s="120"/>
      <c r="AT1046" s="120"/>
      <c r="AY1046" s="1"/>
    </row>
    <row r="1047" spans="42:51">
      <c r="AP1047" s="17"/>
      <c r="AQ1047" s="17"/>
      <c r="AR1047" s="17"/>
      <c r="AS1047" s="120"/>
      <c r="AT1047" s="120"/>
      <c r="AY1047" s="1"/>
    </row>
    <row r="1048" spans="42:51">
      <c r="AP1048" s="17"/>
      <c r="AQ1048" s="17"/>
      <c r="AR1048" s="17"/>
      <c r="AS1048" s="120"/>
      <c r="AT1048" s="120"/>
      <c r="AY1048" s="1"/>
    </row>
    <row r="1049" spans="42:51">
      <c r="AP1049" s="17"/>
      <c r="AQ1049" s="17"/>
      <c r="AR1049" s="17"/>
      <c r="AS1049" s="120"/>
      <c r="AT1049" s="120"/>
      <c r="AY1049" s="1"/>
    </row>
    <row r="1050" spans="42:51">
      <c r="AP1050" s="17"/>
      <c r="AQ1050" s="17"/>
      <c r="AR1050" s="17"/>
      <c r="AS1050" s="120"/>
      <c r="AT1050" s="120"/>
      <c r="AY1050" s="1"/>
    </row>
    <row r="1051" spans="42:51">
      <c r="AP1051" s="17"/>
      <c r="AQ1051" s="17"/>
      <c r="AR1051" s="17"/>
      <c r="AS1051" s="120"/>
      <c r="AT1051" s="120"/>
      <c r="AY1051" s="1"/>
    </row>
    <row r="1052" spans="42:51">
      <c r="AP1052" s="17"/>
      <c r="AQ1052" s="17"/>
      <c r="AR1052" s="17"/>
      <c r="AS1052" s="120"/>
      <c r="AT1052" s="120"/>
      <c r="AY1052" s="1"/>
    </row>
    <row r="1053" spans="42:51">
      <c r="AP1053" s="17"/>
      <c r="AQ1053" s="17"/>
      <c r="AR1053" s="17"/>
      <c r="AS1053" s="120"/>
      <c r="AT1053" s="120"/>
      <c r="AY1053" s="1"/>
    </row>
    <row r="1054" spans="42:51">
      <c r="AP1054" s="17"/>
      <c r="AQ1054" s="17"/>
      <c r="AR1054" s="17"/>
      <c r="AS1054" s="120"/>
      <c r="AT1054" s="120"/>
      <c r="AY1054" s="1"/>
    </row>
    <row r="1055" spans="42:51">
      <c r="AP1055" s="17"/>
      <c r="AQ1055" s="17"/>
      <c r="AR1055" s="17"/>
      <c r="AS1055" s="120"/>
      <c r="AT1055" s="120"/>
      <c r="AY1055" s="1"/>
    </row>
    <row r="1056" spans="42:51">
      <c r="AP1056" s="17"/>
      <c r="AQ1056" s="17"/>
      <c r="AR1056" s="17"/>
      <c r="AS1056" s="120"/>
      <c r="AT1056" s="120"/>
      <c r="AY1056" s="1"/>
    </row>
    <row r="1057" spans="42:51">
      <c r="AP1057" s="17"/>
      <c r="AQ1057" s="17"/>
      <c r="AR1057" s="17"/>
      <c r="AS1057" s="120"/>
      <c r="AT1057" s="120"/>
      <c r="AY1057" s="1"/>
    </row>
    <row r="1058" spans="42:51">
      <c r="AP1058" s="17"/>
      <c r="AQ1058" s="17"/>
      <c r="AR1058" s="17"/>
      <c r="AS1058" s="120"/>
      <c r="AT1058" s="120"/>
      <c r="AY1058" s="1"/>
    </row>
    <row r="1059" spans="42:51">
      <c r="AP1059" s="17"/>
      <c r="AQ1059" s="17"/>
      <c r="AR1059" s="17"/>
      <c r="AS1059" s="120"/>
      <c r="AT1059" s="120"/>
      <c r="AY1059" s="1"/>
    </row>
    <row r="1060" spans="42:51">
      <c r="AP1060" s="17"/>
      <c r="AQ1060" s="17"/>
      <c r="AR1060" s="17"/>
      <c r="AS1060" s="120"/>
      <c r="AT1060" s="120"/>
      <c r="AY1060" s="1"/>
    </row>
    <row r="1061" spans="42:51">
      <c r="AP1061" s="17"/>
      <c r="AQ1061" s="17"/>
      <c r="AR1061" s="17"/>
      <c r="AS1061" s="120"/>
      <c r="AT1061" s="120"/>
      <c r="AY1061" s="1"/>
    </row>
    <row r="1062" spans="42:51">
      <c r="AP1062" s="17"/>
      <c r="AQ1062" s="17"/>
      <c r="AR1062" s="17"/>
      <c r="AS1062" s="120"/>
      <c r="AT1062" s="120"/>
      <c r="AY1062" s="1"/>
    </row>
    <row r="1063" spans="42:51">
      <c r="AP1063" s="17"/>
      <c r="AQ1063" s="17"/>
      <c r="AR1063" s="17"/>
      <c r="AS1063" s="120"/>
      <c r="AT1063" s="120"/>
      <c r="AY1063" s="1"/>
    </row>
    <row r="1064" spans="42:51">
      <c r="AP1064" s="17"/>
      <c r="AQ1064" s="17"/>
      <c r="AR1064" s="17"/>
      <c r="AS1064" s="120"/>
      <c r="AT1064" s="120"/>
      <c r="AY1064" s="1"/>
    </row>
    <row r="1065" spans="42:51">
      <c r="AP1065" s="17"/>
      <c r="AQ1065" s="17"/>
      <c r="AR1065" s="17"/>
      <c r="AS1065" s="120"/>
      <c r="AT1065" s="120"/>
      <c r="AY1065" s="1"/>
    </row>
    <row r="1066" spans="42:51">
      <c r="AP1066" s="17"/>
      <c r="AQ1066" s="17"/>
      <c r="AR1066" s="17"/>
      <c r="AS1066" s="120"/>
      <c r="AT1066" s="120"/>
      <c r="AY1066" s="1"/>
    </row>
    <row r="1067" spans="42:51">
      <c r="AP1067" s="17"/>
      <c r="AQ1067" s="17"/>
      <c r="AR1067" s="17"/>
      <c r="AS1067" s="120"/>
      <c r="AT1067" s="120"/>
      <c r="AY1067" s="1"/>
    </row>
    <row r="1068" spans="42:51">
      <c r="AP1068" s="17"/>
      <c r="AQ1068" s="17"/>
      <c r="AR1068" s="17"/>
      <c r="AS1068" s="120"/>
      <c r="AT1068" s="120"/>
      <c r="AY1068" s="1"/>
    </row>
    <row r="1069" spans="42:51">
      <c r="AP1069" s="17"/>
      <c r="AQ1069" s="17"/>
      <c r="AR1069" s="17"/>
      <c r="AS1069" s="120"/>
      <c r="AT1069" s="120"/>
      <c r="AY1069" s="1"/>
    </row>
    <row r="1070" spans="42:51">
      <c r="AP1070" s="17"/>
      <c r="AQ1070" s="17"/>
      <c r="AR1070" s="17"/>
      <c r="AS1070" s="120"/>
      <c r="AT1070" s="120"/>
      <c r="AY1070" s="1"/>
    </row>
    <row r="1071" spans="42:51">
      <c r="AP1071" s="17"/>
      <c r="AQ1071" s="17"/>
      <c r="AR1071" s="17"/>
      <c r="AS1071" s="120"/>
      <c r="AT1071" s="120"/>
      <c r="AY1071" s="1"/>
    </row>
    <row r="1072" spans="42:51">
      <c r="AP1072" s="17"/>
      <c r="AQ1072" s="17"/>
      <c r="AR1072" s="17"/>
      <c r="AS1072" s="120"/>
      <c r="AT1072" s="120"/>
      <c r="AY1072" s="1"/>
    </row>
    <row r="1073" spans="42:51">
      <c r="AP1073" s="17"/>
      <c r="AQ1073" s="17"/>
      <c r="AR1073" s="17"/>
      <c r="AS1073" s="120"/>
      <c r="AT1073" s="120"/>
      <c r="AY1073" s="1"/>
    </row>
    <row r="1074" spans="42:51">
      <c r="AP1074" s="17"/>
      <c r="AQ1074" s="17"/>
      <c r="AR1074" s="17"/>
      <c r="AS1074" s="120"/>
      <c r="AT1074" s="120"/>
      <c r="AY1074" s="1"/>
    </row>
    <row r="1075" spans="42:51">
      <c r="AP1075" s="17"/>
      <c r="AQ1075" s="17"/>
      <c r="AR1075" s="17"/>
      <c r="AS1075" s="120"/>
      <c r="AT1075" s="120"/>
      <c r="AY1075" s="1"/>
    </row>
    <row r="1076" spans="42:51">
      <c r="AP1076" s="17"/>
      <c r="AQ1076" s="17"/>
      <c r="AR1076" s="17"/>
      <c r="AS1076" s="120"/>
      <c r="AT1076" s="120"/>
      <c r="AY1076" s="1"/>
    </row>
    <row r="1077" spans="42:51">
      <c r="AP1077" s="17"/>
      <c r="AQ1077" s="17"/>
      <c r="AR1077" s="17"/>
      <c r="AS1077" s="120"/>
      <c r="AT1077" s="120"/>
      <c r="AY1077" s="1"/>
    </row>
    <row r="1078" spans="42:51">
      <c r="AP1078" s="17"/>
      <c r="AQ1078" s="17"/>
      <c r="AR1078" s="17"/>
      <c r="AS1078" s="120"/>
      <c r="AT1078" s="120"/>
      <c r="AY1078" s="1"/>
    </row>
    <row r="1079" spans="42:51">
      <c r="AP1079" s="17"/>
      <c r="AQ1079" s="17"/>
      <c r="AR1079" s="17"/>
      <c r="AS1079" s="120"/>
      <c r="AT1079" s="120"/>
      <c r="AY1079" s="1"/>
    </row>
    <row r="1080" spans="42:51">
      <c r="AP1080" s="17"/>
      <c r="AQ1080" s="17"/>
      <c r="AR1080" s="17"/>
      <c r="AS1080" s="120"/>
      <c r="AT1080" s="120"/>
      <c r="AY1080" s="1"/>
    </row>
    <row r="1081" spans="42:51">
      <c r="AP1081" s="17"/>
      <c r="AQ1081" s="17"/>
      <c r="AR1081" s="17"/>
      <c r="AS1081" s="120"/>
      <c r="AT1081" s="120"/>
      <c r="AY1081" s="1"/>
    </row>
    <row r="1082" spans="42:51">
      <c r="AP1082" s="17"/>
      <c r="AQ1082" s="17"/>
      <c r="AR1082" s="17"/>
      <c r="AS1082" s="120"/>
      <c r="AT1082" s="120"/>
      <c r="AY1082" s="1"/>
    </row>
    <row r="1083" spans="42:51">
      <c r="AP1083" s="17"/>
      <c r="AQ1083" s="17"/>
      <c r="AR1083" s="17"/>
      <c r="AS1083" s="120"/>
      <c r="AT1083" s="120"/>
      <c r="AY1083" s="1"/>
    </row>
    <row r="1084" spans="42:51">
      <c r="AP1084" s="17"/>
      <c r="AQ1084" s="17"/>
      <c r="AR1084" s="17"/>
      <c r="AS1084" s="120"/>
      <c r="AT1084" s="120"/>
      <c r="AY1084" s="1"/>
    </row>
    <row r="1085" spans="42:51">
      <c r="AP1085" s="17"/>
      <c r="AQ1085" s="17"/>
      <c r="AR1085" s="17"/>
      <c r="AS1085" s="120"/>
      <c r="AT1085" s="120"/>
      <c r="AY1085" s="1"/>
    </row>
    <row r="1086" spans="42:51">
      <c r="AP1086" s="17"/>
      <c r="AQ1086" s="17"/>
      <c r="AR1086" s="17"/>
      <c r="AS1086" s="120"/>
      <c r="AT1086" s="120"/>
      <c r="AY1086" s="1"/>
    </row>
    <row r="1087" spans="42:51">
      <c r="AP1087" s="17"/>
      <c r="AQ1087" s="17"/>
      <c r="AR1087" s="17"/>
      <c r="AS1087" s="120"/>
      <c r="AT1087" s="120"/>
      <c r="AY1087" s="1"/>
    </row>
    <row r="1088" spans="42:51">
      <c r="AP1088" s="17"/>
      <c r="AQ1088" s="17"/>
      <c r="AR1088" s="17"/>
      <c r="AS1088" s="120"/>
      <c r="AT1088" s="120"/>
      <c r="AY1088" s="1"/>
    </row>
    <row r="1089" spans="42:51">
      <c r="AP1089" s="17"/>
      <c r="AQ1089" s="17"/>
      <c r="AR1089" s="17"/>
      <c r="AS1089" s="120"/>
      <c r="AT1089" s="120"/>
      <c r="AY1089" s="1"/>
    </row>
    <row r="1090" spans="42:51">
      <c r="AP1090" s="17"/>
      <c r="AQ1090" s="17"/>
      <c r="AR1090" s="17"/>
      <c r="AS1090" s="120"/>
      <c r="AT1090" s="120"/>
      <c r="AY1090" s="1"/>
    </row>
    <row r="1091" spans="42:51">
      <c r="AP1091" s="17"/>
      <c r="AQ1091" s="17"/>
      <c r="AR1091" s="17"/>
      <c r="AS1091" s="120"/>
      <c r="AT1091" s="120"/>
      <c r="AY1091" s="1"/>
    </row>
    <row r="1092" spans="42:51">
      <c r="AP1092" s="17"/>
      <c r="AQ1092" s="17"/>
      <c r="AR1092" s="17"/>
      <c r="AS1092" s="120"/>
      <c r="AT1092" s="120"/>
      <c r="AY1092" s="1"/>
    </row>
    <row r="1093" spans="42:51">
      <c r="AP1093" s="17"/>
      <c r="AQ1093" s="17"/>
      <c r="AR1093" s="17"/>
      <c r="AS1093" s="120"/>
      <c r="AT1093" s="120"/>
      <c r="AY1093" s="1"/>
    </row>
    <row r="1094" spans="42:51">
      <c r="AP1094" s="17"/>
      <c r="AQ1094" s="17"/>
      <c r="AR1094" s="17"/>
      <c r="AS1094" s="120"/>
      <c r="AT1094" s="120"/>
      <c r="AY1094" s="1"/>
    </row>
    <row r="1095" spans="42:51">
      <c r="AP1095" s="17"/>
      <c r="AQ1095" s="17"/>
      <c r="AR1095" s="17"/>
      <c r="AS1095" s="120"/>
      <c r="AT1095" s="120"/>
      <c r="AY1095" s="1"/>
    </row>
    <row r="1096" spans="42:51">
      <c r="AP1096" s="17"/>
      <c r="AQ1096" s="17"/>
      <c r="AR1096" s="17"/>
      <c r="AS1096" s="120"/>
      <c r="AT1096" s="120"/>
      <c r="AY1096" s="1"/>
    </row>
    <row r="1097" spans="42:51">
      <c r="AP1097" s="17"/>
      <c r="AQ1097" s="17"/>
      <c r="AR1097" s="17"/>
      <c r="AS1097" s="120"/>
      <c r="AT1097" s="120"/>
      <c r="AY1097" s="1"/>
    </row>
    <row r="1098" spans="42:51">
      <c r="AP1098" s="17"/>
      <c r="AQ1098" s="17"/>
      <c r="AR1098" s="17"/>
      <c r="AS1098" s="120"/>
      <c r="AT1098" s="120"/>
      <c r="AY1098" s="1"/>
    </row>
    <row r="1099" spans="42:51">
      <c r="AP1099" s="17"/>
      <c r="AQ1099" s="17"/>
      <c r="AR1099" s="17"/>
      <c r="AS1099" s="120"/>
      <c r="AT1099" s="120"/>
      <c r="AY1099" s="1"/>
    </row>
    <row r="1100" spans="42:51">
      <c r="AP1100" s="17"/>
      <c r="AQ1100" s="17"/>
      <c r="AR1100" s="17"/>
      <c r="AS1100" s="120"/>
      <c r="AT1100" s="120"/>
      <c r="AY1100" s="1"/>
    </row>
    <row r="1101" spans="42:51">
      <c r="AP1101" s="17"/>
      <c r="AQ1101" s="17"/>
      <c r="AR1101" s="17"/>
      <c r="AS1101" s="120"/>
      <c r="AT1101" s="120"/>
      <c r="AY1101" s="1"/>
    </row>
    <row r="1102" spans="42:51">
      <c r="AP1102" s="17"/>
      <c r="AQ1102" s="17"/>
      <c r="AR1102" s="17"/>
      <c r="AS1102" s="120"/>
      <c r="AT1102" s="120"/>
      <c r="AY1102" s="1"/>
    </row>
    <row r="1103" spans="42:51">
      <c r="AP1103" s="17"/>
      <c r="AQ1103" s="17"/>
      <c r="AR1103" s="17"/>
      <c r="AS1103" s="120"/>
      <c r="AT1103" s="120"/>
      <c r="AY1103" s="1"/>
    </row>
    <row r="1104" spans="42:51">
      <c r="AP1104" s="17"/>
      <c r="AQ1104" s="17"/>
      <c r="AR1104" s="17"/>
      <c r="AS1104" s="120"/>
      <c r="AT1104" s="120"/>
      <c r="AY1104" s="1"/>
    </row>
    <row r="1105" spans="42:51">
      <c r="AP1105" s="17"/>
      <c r="AQ1105" s="17"/>
      <c r="AR1105" s="17"/>
      <c r="AS1105" s="120"/>
      <c r="AT1105" s="120"/>
      <c r="AY1105" s="1"/>
    </row>
    <row r="1106" spans="42:51">
      <c r="AP1106" s="17"/>
      <c r="AQ1106" s="17"/>
      <c r="AR1106" s="17"/>
      <c r="AS1106" s="120"/>
      <c r="AT1106" s="120"/>
      <c r="AY1106" s="1"/>
    </row>
    <row r="1107" spans="42:51">
      <c r="AP1107" s="17"/>
      <c r="AQ1107" s="17"/>
      <c r="AR1107" s="17"/>
      <c r="AS1107" s="120"/>
      <c r="AT1107" s="120"/>
      <c r="AY1107" s="1"/>
    </row>
    <row r="1108" spans="42:51">
      <c r="AP1108" s="17"/>
      <c r="AQ1108" s="17"/>
      <c r="AR1108" s="17"/>
      <c r="AS1108" s="120"/>
      <c r="AT1108" s="120"/>
      <c r="AY1108" s="1"/>
    </row>
    <row r="1109" spans="42:51">
      <c r="AP1109" s="17"/>
      <c r="AQ1109" s="17"/>
      <c r="AR1109" s="17"/>
      <c r="AS1109" s="120"/>
      <c r="AT1109" s="120"/>
      <c r="AY1109" s="1"/>
    </row>
    <row r="1110" spans="42:51">
      <c r="AP1110" s="17"/>
      <c r="AQ1110" s="17"/>
      <c r="AR1110" s="17"/>
      <c r="AS1110" s="120"/>
      <c r="AT1110" s="120"/>
      <c r="AY1110" s="1"/>
    </row>
    <row r="1111" spans="42:51">
      <c r="AP1111" s="17"/>
      <c r="AQ1111" s="17"/>
      <c r="AR1111" s="17"/>
      <c r="AS1111" s="120"/>
      <c r="AT1111" s="120"/>
      <c r="AY1111" s="1"/>
    </row>
    <row r="1112" spans="42:51">
      <c r="AP1112" s="17"/>
      <c r="AQ1112" s="17"/>
      <c r="AR1112" s="17"/>
      <c r="AS1112" s="120"/>
      <c r="AT1112" s="120"/>
      <c r="AY1112" s="1"/>
    </row>
    <row r="1113" spans="42:51">
      <c r="AP1113" s="17"/>
      <c r="AQ1113" s="17"/>
      <c r="AR1113" s="17"/>
      <c r="AS1113" s="120"/>
      <c r="AT1113" s="120"/>
      <c r="AY1113" s="1"/>
    </row>
    <row r="1114" spans="42:51">
      <c r="AP1114" s="17"/>
      <c r="AQ1114" s="17"/>
      <c r="AR1114" s="17"/>
      <c r="AS1114" s="120"/>
      <c r="AT1114" s="120"/>
      <c r="AY1114" s="1"/>
    </row>
    <row r="1115" spans="42:51">
      <c r="AP1115" s="17"/>
      <c r="AQ1115" s="17"/>
      <c r="AR1115" s="17"/>
      <c r="AS1115" s="120"/>
      <c r="AT1115" s="120"/>
      <c r="AY1115" s="1"/>
    </row>
    <row r="1116" spans="42:51">
      <c r="AP1116" s="17"/>
      <c r="AQ1116" s="17"/>
      <c r="AR1116" s="17"/>
      <c r="AS1116" s="120"/>
      <c r="AT1116" s="120"/>
      <c r="AY1116" s="1"/>
    </row>
    <row r="1117" spans="42:51">
      <c r="AP1117" s="17"/>
      <c r="AQ1117" s="17"/>
      <c r="AR1117" s="17"/>
      <c r="AS1117" s="120"/>
      <c r="AT1117" s="120"/>
      <c r="AY1117" s="1"/>
    </row>
    <row r="1118" spans="42:51">
      <c r="AP1118" s="17"/>
      <c r="AQ1118" s="17"/>
      <c r="AR1118" s="17"/>
      <c r="AS1118" s="120"/>
      <c r="AT1118" s="120"/>
      <c r="AY1118" s="1"/>
    </row>
    <row r="1119" spans="42:51">
      <c r="AP1119" s="17"/>
      <c r="AQ1119" s="17"/>
      <c r="AR1119" s="17"/>
      <c r="AS1119" s="120"/>
      <c r="AT1119" s="120"/>
      <c r="AY1119" s="1"/>
    </row>
    <row r="1120" spans="42:51">
      <c r="AP1120" s="17"/>
      <c r="AQ1120" s="17"/>
      <c r="AR1120" s="17"/>
      <c r="AS1120" s="120"/>
      <c r="AT1120" s="120"/>
      <c r="AY1120" s="1"/>
    </row>
    <row r="1121" spans="42:51">
      <c r="AP1121" s="17"/>
      <c r="AQ1121" s="17"/>
      <c r="AR1121" s="17"/>
      <c r="AS1121" s="120"/>
      <c r="AT1121" s="120"/>
      <c r="AY1121" s="1"/>
    </row>
    <row r="1122" spans="42:51">
      <c r="AP1122" s="17"/>
      <c r="AQ1122" s="17"/>
      <c r="AR1122" s="17"/>
      <c r="AS1122" s="120"/>
      <c r="AT1122" s="120"/>
      <c r="AY1122" s="1"/>
    </row>
    <row r="1123" spans="42:51">
      <c r="AP1123" s="17"/>
      <c r="AQ1123" s="17"/>
      <c r="AR1123" s="17"/>
      <c r="AS1123" s="120"/>
      <c r="AT1123" s="120"/>
      <c r="AY1123" s="1"/>
    </row>
    <row r="1124" spans="42:51">
      <c r="AP1124" s="17"/>
      <c r="AQ1124" s="17"/>
      <c r="AR1124" s="17"/>
      <c r="AS1124" s="120"/>
      <c r="AT1124" s="120"/>
      <c r="AY1124" s="1"/>
    </row>
    <row r="1125" spans="42:51">
      <c r="AP1125" s="17"/>
      <c r="AQ1125" s="17"/>
      <c r="AR1125" s="17"/>
      <c r="AS1125" s="120"/>
      <c r="AT1125" s="120"/>
      <c r="AY1125" s="1"/>
    </row>
    <row r="1126" spans="42:51">
      <c r="AP1126" s="17"/>
      <c r="AQ1126" s="17"/>
      <c r="AR1126" s="17"/>
      <c r="AS1126" s="120"/>
      <c r="AT1126" s="120"/>
      <c r="AY1126" s="1"/>
    </row>
    <row r="1127" spans="42:51">
      <c r="AP1127" s="17"/>
      <c r="AQ1127" s="17"/>
      <c r="AR1127" s="17"/>
      <c r="AS1127" s="120"/>
      <c r="AT1127" s="120"/>
      <c r="AY1127" s="1"/>
    </row>
    <row r="1128" spans="42:51">
      <c r="AP1128" s="17"/>
      <c r="AQ1128" s="17"/>
      <c r="AR1128" s="17"/>
      <c r="AS1128" s="120"/>
      <c r="AT1128" s="120"/>
      <c r="AY1128" s="1"/>
    </row>
    <row r="1129" spans="42:51">
      <c r="AP1129" s="17"/>
      <c r="AQ1129" s="17"/>
      <c r="AR1129" s="17"/>
      <c r="AS1129" s="120"/>
      <c r="AT1129" s="120"/>
      <c r="AY1129" s="1"/>
    </row>
    <row r="1130" spans="42:51">
      <c r="AP1130" s="17"/>
      <c r="AQ1130" s="17"/>
      <c r="AR1130" s="17"/>
      <c r="AS1130" s="120"/>
      <c r="AT1130" s="120"/>
      <c r="AY1130" s="1"/>
    </row>
    <row r="1131" spans="42:51">
      <c r="AP1131" s="17"/>
      <c r="AQ1131" s="17"/>
      <c r="AR1131" s="17"/>
      <c r="AS1131" s="120"/>
      <c r="AT1131" s="120"/>
      <c r="AY1131" s="1"/>
    </row>
    <row r="1132" spans="42:51">
      <c r="AP1132" s="17"/>
      <c r="AQ1132" s="17"/>
      <c r="AR1132" s="17"/>
      <c r="AS1132" s="120"/>
      <c r="AT1132" s="120"/>
      <c r="AY1132" s="1"/>
    </row>
    <row r="1133" spans="42:51">
      <c r="AP1133" s="17"/>
      <c r="AQ1133" s="17"/>
      <c r="AR1133" s="17"/>
      <c r="AS1133" s="120"/>
      <c r="AT1133" s="120"/>
      <c r="AY1133" s="1"/>
    </row>
    <row r="1134" spans="42:51">
      <c r="AP1134" s="17"/>
      <c r="AQ1134" s="17"/>
      <c r="AR1134" s="17"/>
      <c r="AS1134" s="120"/>
      <c r="AT1134" s="120"/>
      <c r="AY1134" s="1"/>
    </row>
    <row r="1135" spans="42:51">
      <c r="AP1135" s="17"/>
      <c r="AQ1135" s="17"/>
      <c r="AR1135" s="17"/>
      <c r="AS1135" s="120"/>
      <c r="AT1135" s="120"/>
      <c r="AY1135" s="1"/>
    </row>
    <row r="1136" spans="42:51">
      <c r="AP1136" s="17"/>
      <c r="AQ1136" s="17"/>
      <c r="AR1136" s="17"/>
      <c r="AS1136" s="120"/>
      <c r="AT1136" s="120"/>
      <c r="AY1136" s="1"/>
    </row>
    <row r="1137" spans="42:51">
      <c r="AP1137" s="17"/>
      <c r="AQ1137" s="17"/>
      <c r="AR1137" s="17"/>
      <c r="AS1137" s="120"/>
      <c r="AT1137" s="120"/>
      <c r="AY1137" s="1"/>
    </row>
    <row r="1138" spans="42:51">
      <c r="AP1138" s="17"/>
      <c r="AQ1138" s="17"/>
      <c r="AR1138" s="17"/>
      <c r="AS1138" s="120"/>
      <c r="AT1138" s="120"/>
      <c r="AY1138" s="1"/>
    </row>
    <row r="1139" spans="42:51">
      <c r="AP1139" s="17"/>
      <c r="AQ1139" s="17"/>
      <c r="AR1139" s="17"/>
      <c r="AS1139" s="120"/>
      <c r="AT1139" s="120"/>
      <c r="AY1139" s="1"/>
    </row>
    <row r="1140" spans="42:51">
      <c r="AP1140" s="17"/>
      <c r="AQ1140" s="17"/>
      <c r="AR1140" s="17"/>
      <c r="AS1140" s="120"/>
      <c r="AT1140" s="120"/>
      <c r="AY1140" s="1"/>
    </row>
    <row r="1141" spans="42:51">
      <c r="AP1141" s="17"/>
      <c r="AQ1141" s="17"/>
      <c r="AR1141" s="17"/>
      <c r="AS1141" s="120"/>
      <c r="AT1141" s="120"/>
      <c r="AY1141" s="1"/>
    </row>
    <row r="1142" spans="42:51">
      <c r="AP1142" s="17"/>
      <c r="AQ1142" s="17"/>
      <c r="AR1142" s="17"/>
      <c r="AS1142" s="120"/>
      <c r="AT1142" s="120"/>
      <c r="AY1142" s="1"/>
    </row>
    <row r="1143" spans="42:51">
      <c r="AP1143" s="17"/>
      <c r="AQ1143" s="17"/>
      <c r="AR1143" s="17"/>
      <c r="AS1143" s="120"/>
      <c r="AT1143" s="120"/>
      <c r="AY1143" s="1"/>
    </row>
    <row r="1144" spans="42:51">
      <c r="AP1144" s="17"/>
      <c r="AQ1144" s="17"/>
      <c r="AR1144" s="17"/>
      <c r="AS1144" s="120"/>
      <c r="AT1144" s="120"/>
      <c r="AY1144" s="1"/>
    </row>
    <row r="1145" spans="42:51">
      <c r="AP1145" s="17"/>
      <c r="AQ1145" s="17"/>
      <c r="AR1145" s="17"/>
      <c r="AS1145" s="120"/>
      <c r="AT1145" s="120"/>
      <c r="AY1145" s="1"/>
    </row>
    <row r="1146" spans="42:51">
      <c r="AP1146" s="17"/>
      <c r="AQ1146" s="17"/>
      <c r="AR1146" s="17"/>
      <c r="AS1146" s="120"/>
      <c r="AT1146" s="120"/>
      <c r="AY1146" s="1"/>
    </row>
    <row r="1147" spans="42:51">
      <c r="AP1147" s="17"/>
      <c r="AQ1147" s="17"/>
      <c r="AR1147" s="17"/>
      <c r="AS1147" s="120"/>
      <c r="AT1147" s="120"/>
      <c r="AY1147" s="1"/>
    </row>
    <row r="1148" spans="42:51">
      <c r="AP1148" s="17"/>
      <c r="AQ1148" s="17"/>
      <c r="AR1148" s="17"/>
      <c r="AS1148" s="120"/>
      <c r="AT1148" s="120"/>
      <c r="AY1148" s="1"/>
    </row>
    <row r="1149" spans="42:51">
      <c r="AP1149" s="17"/>
      <c r="AQ1149" s="17"/>
      <c r="AR1149" s="17"/>
      <c r="AS1149" s="120"/>
      <c r="AT1149" s="120"/>
      <c r="AY1149" s="1"/>
    </row>
    <row r="1150" spans="42:51">
      <c r="AP1150" s="17"/>
      <c r="AQ1150" s="17"/>
      <c r="AR1150" s="17"/>
      <c r="AS1150" s="120"/>
      <c r="AT1150" s="120"/>
      <c r="AY1150" s="1"/>
    </row>
    <row r="1151" spans="42:51">
      <c r="AP1151" s="17"/>
      <c r="AQ1151" s="17"/>
      <c r="AR1151" s="17"/>
      <c r="AS1151" s="120"/>
      <c r="AT1151" s="120"/>
      <c r="AY1151" s="1"/>
    </row>
    <row r="1152" spans="42:51">
      <c r="AP1152" s="17"/>
      <c r="AQ1152" s="17"/>
      <c r="AR1152" s="17"/>
      <c r="AS1152" s="120"/>
      <c r="AT1152" s="120"/>
      <c r="AY1152" s="1"/>
    </row>
    <row r="1153" spans="42:51">
      <c r="AP1153" s="17"/>
      <c r="AQ1153" s="17"/>
      <c r="AR1153" s="17"/>
      <c r="AS1153" s="120"/>
      <c r="AT1153" s="120"/>
      <c r="AY1153" s="1"/>
    </row>
    <row r="1154" spans="42:51">
      <c r="AP1154" s="17"/>
      <c r="AQ1154" s="17"/>
      <c r="AR1154" s="17"/>
      <c r="AS1154" s="120"/>
      <c r="AT1154" s="120"/>
      <c r="AY1154" s="1"/>
    </row>
    <row r="1155" spans="42:51">
      <c r="AP1155" s="17"/>
      <c r="AQ1155" s="17"/>
      <c r="AR1155" s="17"/>
      <c r="AS1155" s="120"/>
      <c r="AT1155" s="120"/>
      <c r="AY1155" s="1"/>
    </row>
    <row r="1156" spans="42:51">
      <c r="AP1156" s="17"/>
      <c r="AQ1156" s="17"/>
      <c r="AR1156" s="17"/>
      <c r="AS1156" s="120"/>
      <c r="AT1156" s="120"/>
      <c r="AY1156" s="1"/>
    </row>
    <row r="1157" spans="42:51">
      <c r="AP1157" s="17"/>
      <c r="AQ1157" s="17"/>
      <c r="AR1157" s="17"/>
      <c r="AS1157" s="120"/>
      <c r="AT1157" s="120"/>
      <c r="AY1157" s="1"/>
    </row>
    <row r="1158" spans="42:51">
      <c r="AP1158" s="17"/>
      <c r="AQ1158" s="17"/>
      <c r="AR1158" s="17"/>
      <c r="AS1158" s="120"/>
      <c r="AT1158" s="120"/>
      <c r="AY1158" s="1"/>
    </row>
    <row r="1159" spans="42:51">
      <c r="AP1159" s="17"/>
      <c r="AQ1159" s="17"/>
      <c r="AR1159" s="17"/>
      <c r="AS1159" s="120"/>
      <c r="AT1159" s="120"/>
      <c r="AY1159" s="1"/>
    </row>
    <row r="1160" spans="42:51">
      <c r="AP1160" s="17"/>
      <c r="AQ1160" s="17"/>
      <c r="AR1160" s="17"/>
      <c r="AS1160" s="120"/>
      <c r="AT1160" s="120"/>
      <c r="AY1160" s="1"/>
    </row>
    <row r="1161" spans="42:51">
      <c r="AP1161" s="17"/>
      <c r="AQ1161" s="17"/>
      <c r="AR1161" s="17"/>
      <c r="AS1161" s="120"/>
      <c r="AT1161" s="120"/>
      <c r="AY1161" s="1"/>
    </row>
    <row r="1162" spans="42:51">
      <c r="AP1162" s="17"/>
      <c r="AQ1162" s="17"/>
      <c r="AR1162" s="17"/>
      <c r="AS1162" s="120"/>
      <c r="AT1162" s="120"/>
      <c r="AY1162" s="1"/>
    </row>
    <row r="1163" spans="42:51">
      <c r="AP1163" s="17"/>
      <c r="AQ1163" s="17"/>
      <c r="AR1163" s="17"/>
      <c r="AS1163" s="120"/>
      <c r="AT1163" s="120"/>
      <c r="AY1163" s="1"/>
    </row>
    <row r="1164" spans="42:51">
      <c r="AP1164" s="17"/>
      <c r="AQ1164" s="17"/>
      <c r="AR1164" s="17"/>
      <c r="AS1164" s="120"/>
      <c r="AT1164" s="120"/>
      <c r="AY1164" s="1"/>
    </row>
    <row r="1165" spans="42:51">
      <c r="AP1165" s="17"/>
      <c r="AQ1165" s="17"/>
      <c r="AR1165" s="17"/>
      <c r="AS1165" s="120"/>
      <c r="AT1165" s="120"/>
      <c r="AY1165" s="1"/>
    </row>
    <row r="1166" spans="42:51">
      <c r="AP1166" s="17"/>
      <c r="AQ1166" s="17"/>
      <c r="AR1166" s="17"/>
      <c r="AS1166" s="120"/>
      <c r="AT1166" s="120"/>
      <c r="AY1166" s="1"/>
    </row>
    <row r="1167" spans="42:51">
      <c r="AP1167" s="17"/>
      <c r="AQ1167" s="17"/>
      <c r="AR1167" s="17"/>
      <c r="AS1167" s="120"/>
      <c r="AT1167" s="120"/>
      <c r="AY1167" s="1"/>
    </row>
    <row r="1168" spans="42:51">
      <c r="AP1168" s="17"/>
      <c r="AQ1168" s="17"/>
      <c r="AR1168" s="17"/>
      <c r="AS1168" s="120"/>
      <c r="AT1168" s="120"/>
      <c r="AY1168" s="1"/>
    </row>
    <row r="1169" spans="42:51">
      <c r="AP1169" s="17"/>
      <c r="AQ1169" s="17"/>
      <c r="AR1169" s="17"/>
      <c r="AS1169" s="120"/>
      <c r="AT1169" s="120"/>
      <c r="AY1169" s="1"/>
    </row>
    <row r="1170" spans="42:51">
      <c r="AP1170" s="17"/>
      <c r="AQ1170" s="17"/>
      <c r="AR1170" s="17"/>
      <c r="AS1170" s="120"/>
      <c r="AT1170" s="120"/>
      <c r="AY1170" s="1"/>
    </row>
    <row r="1171" spans="42:51">
      <c r="AP1171" s="17"/>
      <c r="AQ1171" s="17"/>
      <c r="AR1171" s="17"/>
      <c r="AS1171" s="120"/>
      <c r="AT1171" s="120"/>
      <c r="AY1171" s="1"/>
    </row>
    <row r="1172" spans="42:51">
      <c r="AP1172" s="17"/>
      <c r="AQ1172" s="17"/>
      <c r="AR1172" s="17"/>
      <c r="AS1172" s="120"/>
      <c r="AT1172" s="120"/>
      <c r="AY1172" s="1"/>
    </row>
    <row r="1173" spans="42:51">
      <c r="AP1173" s="17"/>
      <c r="AQ1173" s="17"/>
      <c r="AR1173" s="17"/>
      <c r="AS1173" s="120"/>
      <c r="AT1173" s="120"/>
      <c r="AY1173" s="1"/>
    </row>
    <row r="1174" spans="42:51">
      <c r="AP1174" s="17"/>
      <c r="AQ1174" s="17"/>
      <c r="AR1174" s="17"/>
      <c r="AS1174" s="120"/>
      <c r="AT1174" s="120"/>
      <c r="AY1174" s="1"/>
    </row>
    <row r="1175" spans="42:51">
      <c r="AP1175" s="17"/>
      <c r="AQ1175" s="17"/>
      <c r="AR1175" s="17"/>
      <c r="AS1175" s="120"/>
      <c r="AT1175" s="120"/>
      <c r="AY1175" s="1"/>
    </row>
    <row r="1176" spans="42:51">
      <c r="AP1176" s="17"/>
      <c r="AQ1176" s="17"/>
      <c r="AR1176" s="17"/>
      <c r="AS1176" s="120"/>
      <c r="AT1176" s="120"/>
      <c r="AY1176" s="1"/>
    </row>
    <row r="1177" spans="42:51">
      <c r="AP1177" s="17"/>
      <c r="AQ1177" s="17"/>
      <c r="AR1177" s="17"/>
      <c r="AS1177" s="120"/>
      <c r="AT1177" s="120"/>
      <c r="AY1177" s="1"/>
    </row>
    <row r="1178" spans="42:51">
      <c r="AP1178" s="17"/>
      <c r="AQ1178" s="17"/>
      <c r="AR1178" s="17"/>
      <c r="AS1178" s="120"/>
      <c r="AT1178" s="120"/>
      <c r="AY1178" s="1"/>
    </row>
    <row r="1179" spans="42:51">
      <c r="AP1179" s="17"/>
      <c r="AQ1179" s="17"/>
      <c r="AR1179" s="17"/>
      <c r="AS1179" s="120"/>
      <c r="AT1179" s="120"/>
      <c r="AY1179" s="1"/>
    </row>
    <row r="1180" spans="42:51">
      <c r="AP1180" s="17"/>
      <c r="AQ1180" s="17"/>
      <c r="AR1180" s="17"/>
      <c r="AS1180" s="120"/>
      <c r="AT1180" s="120"/>
      <c r="AY1180" s="1"/>
    </row>
    <row r="1181" spans="42:51">
      <c r="AP1181" s="17"/>
      <c r="AQ1181" s="17"/>
      <c r="AR1181" s="17"/>
      <c r="AS1181" s="120"/>
      <c r="AT1181" s="120"/>
      <c r="AY1181" s="1"/>
    </row>
    <row r="1182" spans="42:51">
      <c r="AP1182" s="17"/>
      <c r="AQ1182" s="17"/>
      <c r="AR1182" s="17"/>
      <c r="AS1182" s="120"/>
      <c r="AT1182" s="120"/>
      <c r="AY1182" s="1"/>
    </row>
    <row r="1183" spans="42:51">
      <c r="AP1183" s="17"/>
      <c r="AQ1183" s="17"/>
      <c r="AR1183" s="17"/>
      <c r="AS1183" s="120"/>
      <c r="AT1183" s="120"/>
      <c r="AY1183" s="1"/>
    </row>
    <row r="1184" spans="42:51">
      <c r="AP1184" s="17"/>
      <c r="AQ1184" s="17"/>
      <c r="AR1184" s="17"/>
      <c r="AS1184" s="120"/>
      <c r="AT1184" s="120"/>
      <c r="AY1184" s="1"/>
    </row>
    <row r="1185" spans="42:51">
      <c r="AP1185" s="17"/>
      <c r="AQ1185" s="17"/>
      <c r="AR1185" s="17"/>
      <c r="AS1185" s="120"/>
      <c r="AT1185" s="120"/>
      <c r="AY1185" s="1"/>
    </row>
    <row r="1186" spans="42:51">
      <c r="AP1186" s="17"/>
      <c r="AQ1186" s="17"/>
      <c r="AR1186" s="17"/>
      <c r="AS1186" s="120"/>
      <c r="AT1186" s="120"/>
      <c r="AY1186" s="1"/>
    </row>
    <row r="1187" spans="42:51">
      <c r="AP1187" s="17"/>
      <c r="AQ1187" s="17"/>
      <c r="AR1187" s="17"/>
      <c r="AS1187" s="120"/>
      <c r="AT1187" s="120"/>
      <c r="AY1187" s="1"/>
    </row>
    <row r="1188" spans="42:51">
      <c r="AP1188" s="17"/>
      <c r="AQ1188" s="17"/>
      <c r="AR1188" s="17"/>
      <c r="AS1188" s="120"/>
      <c r="AT1188" s="120"/>
      <c r="AY1188" s="1"/>
    </row>
    <row r="1189" spans="42:51">
      <c r="AP1189" s="17"/>
      <c r="AQ1189" s="17"/>
      <c r="AR1189" s="17"/>
      <c r="AS1189" s="120"/>
      <c r="AT1189" s="120"/>
      <c r="AY1189" s="1"/>
    </row>
    <row r="1190" spans="42:51">
      <c r="AP1190" s="17"/>
      <c r="AQ1190" s="17"/>
      <c r="AR1190" s="17"/>
      <c r="AS1190" s="120"/>
      <c r="AT1190" s="120"/>
      <c r="AY1190" s="1"/>
    </row>
    <row r="1191" spans="42:51">
      <c r="AP1191" s="17"/>
      <c r="AQ1191" s="17"/>
      <c r="AR1191" s="17"/>
      <c r="AS1191" s="120"/>
      <c r="AT1191" s="120"/>
      <c r="AY1191" s="1"/>
    </row>
    <row r="1192" spans="42:51">
      <c r="AP1192" s="17"/>
      <c r="AQ1192" s="17"/>
      <c r="AR1192" s="17"/>
      <c r="AS1192" s="120"/>
      <c r="AT1192" s="120"/>
      <c r="AY1192" s="1"/>
    </row>
    <row r="1193" spans="42:51">
      <c r="AP1193" s="17"/>
      <c r="AQ1193" s="17"/>
      <c r="AR1193" s="17"/>
      <c r="AS1193" s="120"/>
      <c r="AT1193" s="120"/>
      <c r="AY1193" s="1"/>
    </row>
    <row r="1194" spans="42:51">
      <c r="AP1194" s="17"/>
      <c r="AQ1194" s="17"/>
      <c r="AR1194" s="17"/>
      <c r="AS1194" s="120"/>
      <c r="AT1194" s="120"/>
      <c r="AY1194" s="1"/>
    </row>
    <row r="1195" spans="42:51">
      <c r="AP1195" s="17"/>
      <c r="AQ1195" s="17"/>
      <c r="AR1195" s="17"/>
      <c r="AS1195" s="120"/>
      <c r="AT1195" s="120"/>
      <c r="AY1195" s="1"/>
    </row>
    <row r="1196" spans="42:51">
      <c r="AP1196" s="17"/>
      <c r="AQ1196" s="17"/>
      <c r="AR1196" s="17"/>
      <c r="AS1196" s="120"/>
      <c r="AT1196" s="120"/>
      <c r="AY1196" s="1"/>
    </row>
    <row r="1197" spans="42:51">
      <c r="AP1197" s="17"/>
      <c r="AQ1197" s="17"/>
      <c r="AR1197" s="17"/>
      <c r="AS1197" s="120"/>
      <c r="AT1197" s="120"/>
      <c r="AY1197" s="1"/>
    </row>
    <row r="1198" spans="42:51">
      <c r="AP1198" s="17"/>
      <c r="AQ1198" s="17"/>
      <c r="AR1198" s="17"/>
      <c r="AS1198" s="120"/>
      <c r="AT1198" s="120"/>
      <c r="AY1198" s="1"/>
    </row>
    <row r="1199" spans="42:51">
      <c r="AP1199" s="17"/>
      <c r="AQ1199" s="17"/>
      <c r="AR1199" s="17"/>
      <c r="AS1199" s="120"/>
      <c r="AT1199" s="120"/>
      <c r="AY1199" s="1"/>
    </row>
    <row r="1200" spans="42:51">
      <c r="AP1200" s="17"/>
      <c r="AQ1200" s="17"/>
      <c r="AR1200" s="17"/>
      <c r="AS1200" s="120"/>
      <c r="AT1200" s="120"/>
      <c r="AY1200" s="1"/>
    </row>
    <row r="1201" spans="42:51">
      <c r="AP1201" s="17"/>
      <c r="AQ1201" s="17"/>
      <c r="AR1201" s="17"/>
      <c r="AS1201" s="120"/>
      <c r="AT1201" s="120"/>
      <c r="AY1201" s="1"/>
    </row>
    <row r="1202" spans="42:51">
      <c r="AP1202" s="17"/>
      <c r="AQ1202" s="17"/>
      <c r="AR1202" s="17"/>
      <c r="AS1202" s="120"/>
      <c r="AT1202" s="120"/>
      <c r="AY1202" s="1"/>
    </row>
    <row r="1203" spans="42:51">
      <c r="AP1203" s="17"/>
      <c r="AQ1203" s="17"/>
      <c r="AR1203" s="17"/>
      <c r="AS1203" s="120"/>
      <c r="AT1203" s="120"/>
      <c r="AY1203" s="1"/>
    </row>
    <row r="1204" spans="42:51">
      <c r="AP1204" s="17"/>
      <c r="AQ1204" s="17"/>
      <c r="AR1204" s="17"/>
      <c r="AS1204" s="120"/>
      <c r="AT1204" s="120"/>
      <c r="AY1204" s="1"/>
    </row>
    <row r="1205" spans="42:51">
      <c r="AP1205" s="17"/>
      <c r="AQ1205" s="17"/>
      <c r="AR1205" s="17"/>
      <c r="AS1205" s="120"/>
      <c r="AT1205" s="120"/>
      <c r="AY1205" s="1"/>
    </row>
    <row r="1206" spans="42:51">
      <c r="AP1206" s="17"/>
      <c r="AQ1206" s="17"/>
      <c r="AR1206" s="17"/>
      <c r="AS1206" s="120"/>
      <c r="AT1206" s="120"/>
      <c r="AY1206" s="1"/>
    </row>
    <row r="1207" spans="42:51">
      <c r="AP1207" s="17"/>
      <c r="AQ1207" s="17"/>
      <c r="AR1207" s="17"/>
      <c r="AS1207" s="120"/>
      <c r="AT1207" s="120"/>
      <c r="AY1207" s="1"/>
    </row>
    <row r="1208" spans="42:51">
      <c r="AP1208" s="17"/>
      <c r="AQ1208" s="17"/>
      <c r="AR1208" s="17"/>
      <c r="AS1208" s="120"/>
      <c r="AT1208" s="120"/>
      <c r="AY1208" s="1"/>
    </row>
    <row r="1209" spans="42:51">
      <c r="AP1209" s="17"/>
      <c r="AQ1209" s="17"/>
      <c r="AR1209" s="17"/>
      <c r="AS1209" s="120"/>
      <c r="AT1209" s="120"/>
      <c r="AY1209" s="1"/>
    </row>
    <row r="1210" spans="42:51">
      <c r="AP1210" s="17"/>
      <c r="AQ1210" s="17"/>
      <c r="AR1210" s="17"/>
      <c r="AS1210" s="120"/>
      <c r="AT1210" s="120"/>
      <c r="AY1210" s="1"/>
    </row>
    <row r="1211" spans="42:51">
      <c r="AP1211" s="17"/>
      <c r="AQ1211" s="17"/>
      <c r="AR1211" s="17"/>
      <c r="AS1211" s="120"/>
      <c r="AT1211" s="120"/>
      <c r="AY1211" s="1"/>
    </row>
    <row r="1212" spans="42:51">
      <c r="AP1212" s="17"/>
      <c r="AQ1212" s="17"/>
      <c r="AR1212" s="17"/>
      <c r="AS1212" s="120"/>
      <c r="AT1212" s="120"/>
      <c r="AY1212" s="1"/>
    </row>
    <row r="1213" spans="42:51">
      <c r="AP1213" s="17"/>
      <c r="AQ1213" s="17"/>
      <c r="AR1213" s="17"/>
      <c r="AS1213" s="120"/>
      <c r="AT1213" s="120"/>
      <c r="AY1213" s="1"/>
    </row>
    <row r="1214" spans="42:51">
      <c r="AP1214" s="17"/>
      <c r="AQ1214" s="17"/>
      <c r="AR1214" s="17"/>
      <c r="AS1214" s="120"/>
      <c r="AT1214" s="120"/>
      <c r="AY1214" s="1"/>
    </row>
    <row r="1215" spans="42:51">
      <c r="AP1215" s="17"/>
      <c r="AQ1215" s="17"/>
      <c r="AR1215" s="17"/>
      <c r="AS1215" s="120"/>
      <c r="AT1215" s="120"/>
      <c r="AY1215" s="1"/>
    </row>
    <row r="1216" spans="42:51">
      <c r="AP1216" s="17"/>
      <c r="AQ1216" s="17"/>
      <c r="AR1216" s="17"/>
      <c r="AS1216" s="120"/>
      <c r="AT1216" s="120"/>
      <c r="AY1216" s="1"/>
    </row>
    <row r="1217" spans="42:51">
      <c r="AP1217" s="17"/>
      <c r="AQ1217" s="17"/>
      <c r="AR1217" s="17"/>
      <c r="AS1217" s="120"/>
      <c r="AT1217" s="120"/>
      <c r="AY1217" s="1"/>
    </row>
    <row r="1218" spans="42:51">
      <c r="AP1218" s="17"/>
      <c r="AQ1218" s="17"/>
      <c r="AR1218" s="17"/>
      <c r="AS1218" s="120"/>
      <c r="AT1218" s="120"/>
      <c r="AY1218" s="1"/>
    </row>
    <row r="1219" spans="42:51">
      <c r="AP1219" s="17"/>
      <c r="AQ1219" s="17"/>
      <c r="AR1219" s="17"/>
      <c r="AS1219" s="120"/>
      <c r="AT1219" s="120"/>
      <c r="AY1219" s="1"/>
    </row>
    <row r="1220" spans="42:51">
      <c r="AP1220" s="17"/>
      <c r="AQ1220" s="17"/>
      <c r="AR1220" s="17"/>
      <c r="AS1220" s="120"/>
      <c r="AT1220" s="120"/>
      <c r="AY1220" s="1"/>
    </row>
    <row r="1221" spans="42:51">
      <c r="AP1221" s="17"/>
      <c r="AQ1221" s="17"/>
      <c r="AR1221" s="17"/>
      <c r="AS1221" s="120"/>
      <c r="AT1221" s="120"/>
      <c r="AY1221" s="1"/>
    </row>
    <row r="1222" spans="42:51">
      <c r="AP1222" s="17"/>
      <c r="AQ1222" s="17"/>
      <c r="AR1222" s="17"/>
      <c r="AS1222" s="120"/>
      <c r="AT1222" s="120"/>
      <c r="AY1222" s="1"/>
    </row>
    <row r="1223" spans="42:51">
      <c r="AP1223" s="17"/>
      <c r="AQ1223" s="17"/>
      <c r="AR1223" s="17"/>
      <c r="AS1223" s="120"/>
      <c r="AT1223" s="120"/>
      <c r="AY1223" s="1"/>
    </row>
    <row r="1224" spans="42:51">
      <c r="AP1224" s="17"/>
      <c r="AQ1224" s="17"/>
      <c r="AR1224" s="17"/>
      <c r="AS1224" s="120"/>
      <c r="AT1224" s="120"/>
      <c r="AY1224" s="1"/>
    </row>
    <row r="1225" spans="42:51">
      <c r="AP1225" s="17"/>
      <c r="AQ1225" s="17"/>
      <c r="AR1225" s="17"/>
      <c r="AS1225" s="120"/>
      <c r="AT1225" s="120"/>
      <c r="AY1225" s="1"/>
    </row>
    <row r="1226" spans="42:51">
      <c r="AP1226" s="17"/>
      <c r="AQ1226" s="17"/>
      <c r="AR1226" s="17"/>
      <c r="AS1226" s="120"/>
      <c r="AT1226" s="120"/>
      <c r="AY1226" s="1"/>
    </row>
    <row r="1227" spans="42:51">
      <c r="AP1227" s="17"/>
      <c r="AQ1227" s="17"/>
      <c r="AR1227" s="17"/>
      <c r="AS1227" s="120"/>
      <c r="AT1227" s="120"/>
      <c r="AY1227" s="1"/>
    </row>
    <row r="1228" spans="42:51">
      <c r="AP1228" s="17"/>
      <c r="AQ1228" s="17"/>
      <c r="AR1228" s="17"/>
      <c r="AS1228" s="120"/>
      <c r="AT1228" s="120"/>
      <c r="AY1228" s="1"/>
    </row>
    <row r="1229" spans="42:51">
      <c r="AP1229" s="17"/>
      <c r="AQ1229" s="17"/>
      <c r="AR1229" s="17"/>
      <c r="AS1229" s="120"/>
      <c r="AT1229" s="120"/>
      <c r="AY1229" s="1"/>
    </row>
    <row r="1230" spans="42:51">
      <c r="AP1230" s="17"/>
      <c r="AQ1230" s="17"/>
      <c r="AR1230" s="17"/>
      <c r="AS1230" s="120"/>
      <c r="AT1230" s="120"/>
      <c r="AY1230" s="1"/>
    </row>
    <row r="1231" spans="42:51">
      <c r="AP1231" s="17"/>
      <c r="AQ1231" s="17"/>
      <c r="AR1231" s="17"/>
      <c r="AS1231" s="120"/>
      <c r="AT1231" s="120"/>
      <c r="AY1231" s="1"/>
    </row>
    <row r="1232" spans="42:51">
      <c r="AP1232" s="17"/>
      <c r="AQ1232" s="17"/>
      <c r="AR1232" s="17"/>
      <c r="AS1232" s="120"/>
      <c r="AT1232" s="120"/>
      <c r="AY1232" s="1"/>
    </row>
    <row r="1233" spans="42:51">
      <c r="AP1233" s="17"/>
      <c r="AQ1233" s="17"/>
      <c r="AR1233" s="17"/>
      <c r="AS1233" s="120"/>
      <c r="AT1233" s="120"/>
      <c r="AY1233" s="1"/>
    </row>
    <row r="1234" spans="42:51">
      <c r="AP1234" s="17"/>
      <c r="AQ1234" s="17"/>
      <c r="AR1234" s="17"/>
      <c r="AS1234" s="120"/>
      <c r="AT1234" s="120"/>
      <c r="AY1234" s="1"/>
    </row>
    <row r="1235" spans="42:51">
      <c r="AP1235" s="17"/>
      <c r="AQ1235" s="17"/>
      <c r="AR1235" s="17"/>
      <c r="AS1235" s="120"/>
      <c r="AT1235" s="120"/>
      <c r="AY1235" s="1"/>
    </row>
    <row r="1236" spans="42:51">
      <c r="AP1236" s="17"/>
      <c r="AQ1236" s="17"/>
      <c r="AR1236" s="17"/>
      <c r="AS1236" s="120"/>
      <c r="AT1236" s="120"/>
      <c r="AY1236" s="1"/>
    </row>
    <row r="1237" spans="42:51">
      <c r="AP1237" s="17"/>
      <c r="AQ1237" s="17"/>
      <c r="AR1237" s="17"/>
      <c r="AS1237" s="120"/>
      <c r="AT1237" s="120"/>
      <c r="AY1237" s="1"/>
    </row>
    <row r="1238" spans="42:51">
      <c r="AP1238" s="17"/>
      <c r="AQ1238" s="17"/>
      <c r="AR1238" s="17"/>
      <c r="AS1238" s="120"/>
      <c r="AT1238" s="120"/>
      <c r="AY1238" s="1"/>
    </row>
    <row r="1239" spans="42:51">
      <c r="AP1239" s="17"/>
      <c r="AQ1239" s="17"/>
      <c r="AR1239" s="17"/>
      <c r="AS1239" s="120"/>
      <c r="AT1239" s="120"/>
      <c r="AY1239" s="1"/>
    </row>
    <row r="1240" spans="42:51">
      <c r="AP1240" s="17"/>
      <c r="AQ1240" s="17"/>
      <c r="AR1240" s="17"/>
      <c r="AS1240" s="120"/>
      <c r="AT1240" s="120"/>
      <c r="AY1240" s="1"/>
    </row>
    <row r="1241" spans="42:51">
      <c r="AP1241" s="17"/>
      <c r="AQ1241" s="17"/>
      <c r="AR1241" s="17"/>
      <c r="AS1241" s="120"/>
      <c r="AT1241" s="120"/>
      <c r="AY1241" s="1"/>
    </row>
    <row r="1242" spans="42:51">
      <c r="AP1242" s="17"/>
      <c r="AQ1242" s="17"/>
      <c r="AR1242" s="17"/>
      <c r="AS1242" s="120"/>
      <c r="AT1242" s="120"/>
      <c r="AY1242" s="1"/>
    </row>
    <row r="1243" spans="42:51">
      <c r="AP1243" s="17"/>
      <c r="AQ1243" s="17"/>
      <c r="AR1243" s="17"/>
      <c r="AS1243" s="120"/>
      <c r="AT1243" s="120"/>
      <c r="AY1243" s="1"/>
    </row>
    <row r="1244" spans="42:51">
      <c r="AP1244" s="17"/>
      <c r="AQ1244" s="17"/>
      <c r="AR1244" s="17"/>
      <c r="AS1244" s="120"/>
      <c r="AT1244" s="120"/>
      <c r="AY1244" s="1"/>
    </row>
    <row r="1245" spans="42:51">
      <c r="AP1245" s="17"/>
      <c r="AQ1245" s="17"/>
      <c r="AR1245" s="17"/>
      <c r="AS1245" s="120"/>
      <c r="AT1245" s="120"/>
      <c r="AY1245" s="1"/>
    </row>
    <row r="1246" spans="42:51">
      <c r="AP1246" s="17"/>
      <c r="AQ1246" s="17"/>
      <c r="AR1246" s="17"/>
      <c r="AS1246" s="120"/>
      <c r="AT1246" s="120"/>
      <c r="AY1246" s="1"/>
    </row>
    <row r="1247" spans="42:51">
      <c r="AP1247" s="17"/>
      <c r="AQ1247" s="17"/>
      <c r="AR1247" s="17"/>
      <c r="AS1247" s="120"/>
      <c r="AT1247" s="120"/>
      <c r="AY1247" s="1"/>
    </row>
    <row r="1248" spans="42:51">
      <c r="AP1248" s="17"/>
      <c r="AQ1248" s="17"/>
      <c r="AR1248" s="17"/>
      <c r="AS1248" s="120"/>
      <c r="AT1248" s="120"/>
      <c r="AY1248" s="1"/>
    </row>
    <row r="1249" spans="42:51">
      <c r="AP1249" s="17"/>
      <c r="AQ1249" s="17"/>
      <c r="AR1249" s="17"/>
      <c r="AS1249" s="120"/>
      <c r="AT1249" s="120"/>
      <c r="AY1249" s="1"/>
    </row>
    <row r="1250" spans="42:51">
      <c r="AP1250" s="17"/>
      <c r="AQ1250" s="17"/>
      <c r="AR1250" s="17"/>
      <c r="AS1250" s="120"/>
      <c r="AT1250" s="120"/>
      <c r="AY1250" s="1"/>
    </row>
    <row r="1251" spans="42:51">
      <c r="AP1251" s="17"/>
      <c r="AQ1251" s="17"/>
      <c r="AR1251" s="17"/>
      <c r="AS1251" s="120"/>
      <c r="AT1251" s="120"/>
      <c r="AY1251" s="1"/>
    </row>
    <row r="1252" spans="42:51">
      <c r="AP1252" s="17"/>
      <c r="AQ1252" s="17"/>
      <c r="AR1252" s="17"/>
      <c r="AS1252" s="120"/>
      <c r="AT1252" s="120"/>
      <c r="AY1252" s="1"/>
    </row>
    <row r="1253" spans="42:51">
      <c r="AP1253" s="17"/>
      <c r="AQ1253" s="17"/>
      <c r="AR1253" s="17"/>
      <c r="AS1253" s="120"/>
      <c r="AT1253" s="120"/>
      <c r="AY1253" s="1"/>
    </row>
    <row r="1254" spans="42:51">
      <c r="AP1254" s="17"/>
      <c r="AQ1254" s="17"/>
      <c r="AR1254" s="17"/>
      <c r="AS1254" s="120"/>
      <c r="AT1254" s="120"/>
      <c r="AY1254" s="1"/>
    </row>
    <row r="1255" spans="42:51">
      <c r="AP1255" s="17"/>
      <c r="AQ1255" s="17"/>
      <c r="AR1255" s="17"/>
      <c r="AS1255" s="120"/>
      <c r="AT1255" s="120"/>
      <c r="AY1255" s="1"/>
    </row>
    <row r="1256" spans="42:51">
      <c r="AP1256" s="17"/>
      <c r="AQ1256" s="17"/>
      <c r="AR1256" s="17"/>
      <c r="AS1256" s="120"/>
      <c r="AT1256" s="120"/>
      <c r="AY1256" s="1"/>
    </row>
    <row r="1257" spans="42:51">
      <c r="AP1257" s="17"/>
      <c r="AQ1257" s="17"/>
      <c r="AR1257" s="17"/>
      <c r="AS1257" s="120"/>
      <c r="AT1257" s="120"/>
      <c r="AY1257" s="1"/>
    </row>
    <row r="1258" spans="42:51">
      <c r="AP1258" s="17"/>
      <c r="AQ1258" s="17"/>
      <c r="AR1258" s="17"/>
      <c r="AS1258" s="120"/>
      <c r="AT1258" s="120"/>
      <c r="AY1258" s="1"/>
    </row>
    <row r="1259" spans="42:51">
      <c r="AP1259" s="17"/>
      <c r="AQ1259" s="17"/>
      <c r="AR1259" s="17"/>
      <c r="AS1259" s="120"/>
      <c r="AT1259" s="120"/>
      <c r="AY1259" s="1"/>
    </row>
    <row r="1260" spans="42:51">
      <c r="AP1260" s="17"/>
      <c r="AQ1260" s="17"/>
      <c r="AR1260" s="17"/>
      <c r="AS1260" s="120"/>
      <c r="AT1260" s="120"/>
      <c r="AY1260" s="1"/>
    </row>
    <row r="1261" spans="42:51">
      <c r="AP1261" s="17"/>
      <c r="AQ1261" s="17"/>
      <c r="AR1261" s="17"/>
      <c r="AS1261" s="120"/>
      <c r="AT1261" s="120"/>
      <c r="AY1261" s="1"/>
    </row>
    <row r="1262" spans="42:51">
      <c r="AP1262" s="17"/>
      <c r="AQ1262" s="17"/>
      <c r="AR1262" s="17"/>
      <c r="AS1262" s="120"/>
      <c r="AT1262" s="120"/>
      <c r="AY1262" s="1"/>
    </row>
    <row r="1263" spans="42:51">
      <c r="AP1263" s="17"/>
      <c r="AQ1263" s="17"/>
      <c r="AR1263" s="17"/>
      <c r="AS1263" s="120"/>
      <c r="AT1263" s="120"/>
      <c r="AY1263" s="1"/>
    </row>
    <row r="1264" spans="42:51">
      <c r="AP1264" s="17"/>
      <c r="AQ1264" s="17"/>
      <c r="AR1264" s="17"/>
      <c r="AS1264" s="120"/>
      <c r="AT1264" s="120"/>
      <c r="AY1264" s="1"/>
    </row>
    <row r="1265" spans="42:51">
      <c r="AP1265" s="17"/>
      <c r="AQ1265" s="17"/>
      <c r="AR1265" s="17"/>
      <c r="AS1265" s="120"/>
      <c r="AT1265" s="120"/>
      <c r="AY1265" s="1"/>
    </row>
    <row r="1266" spans="42:51">
      <c r="AP1266" s="17"/>
      <c r="AQ1266" s="17"/>
      <c r="AR1266" s="17"/>
      <c r="AS1266" s="120"/>
      <c r="AT1266" s="120"/>
      <c r="AY1266" s="1"/>
    </row>
    <row r="1267" spans="42:51">
      <c r="AP1267" s="17"/>
      <c r="AQ1267" s="17"/>
      <c r="AR1267" s="17"/>
      <c r="AS1267" s="120"/>
      <c r="AT1267" s="120"/>
      <c r="AY1267" s="1"/>
    </row>
    <row r="1268" spans="42:51">
      <c r="AP1268" s="17"/>
      <c r="AQ1268" s="17"/>
      <c r="AR1268" s="17"/>
      <c r="AS1268" s="120"/>
      <c r="AT1268" s="120"/>
      <c r="AY1268" s="1"/>
    </row>
    <row r="1269" spans="42:51">
      <c r="AP1269" s="17"/>
      <c r="AQ1269" s="17"/>
      <c r="AR1269" s="17"/>
      <c r="AS1269" s="120"/>
      <c r="AT1269" s="120"/>
      <c r="AY1269" s="1"/>
    </row>
    <row r="1270" spans="42:51">
      <c r="AP1270" s="17"/>
      <c r="AQ1270" s="17"/>
      <c r="AR1270" s="17"/>
      <c r="AS1270" s="120"/>
      <c r="AT1270" s="120"/>
      <c r="AY1270" s="1"/>
    </row>
    <row r="1271" spans="42:51">
      <c r="AP1271" s="17"/>
      <c r="AQ1271" s="17"/>
      <c r="AR1271" s="17"/>
      <c r="AS1271" s="120"/>
      <c r="AT1271" s="120"/>
      <c r="AY1271" s="1"/>
    </row>
    <row r="1272" spans="42:51">
      <c r="AP1272" s="17"/>
      <c r="AQ1272" s="17"/>
      <c r="AR1272" s="17"/>
      <c r="AS1272" s="120"/>
      <c r="AT1272" s="120"/>
      <c r="AY1272" s="1"/>
    </row>
    <row r="1273" spans="42:51">
      <c r="AP1273" s="17"/>
      <c r="AQ1273" s="17"/>
      <c r="AR1273" s="17"/>
      <c r="AS1273" s="120"/>
      <c r="AT1273" s="120"/>
      <c r="AY1273" s="1"/>
    </row>
    <row r="1274" spans="42:51">
      <c r="AP1274" s="17"/>
      <c r="AQ1274" s="17"/>
      <c r="AR1274" s="17"/>
      <c r="AS1274" s="120"/>
      <c r="AT1274" s="120"/>
      <c r="AY1274" s="1"/>
    </row>
    <row r="1275" spans="42:51">
      <c r="AP1275" s="17"/>
      <c r="AQ1275" s="17"/>
      <c r="AR1275" s="17"/>
      <c r="AS1275" s="120"/>
      <c r="AT1275" s="120"/>
      <c r="AY1275" s="1"/>
    </row>
    <row r="1276" spans="42:51">
      <c r="AP1276" s="17"/>
      <c r="AQ1276" s="17"/>
      <c r="AR1276" s="17"/>
      <c r="AS1276" s="120"/>
      <c r="AT1276" s="120"/>
      <c r="AY1276" s="1"/>
    </row>
    <row r="1277" spans="42:51">
      <c r="AP1277" s="17"/>
      <c r="AQ1277" s="17"/>
      <c r="AR1277" s="17"/>
      <c r="AS1277" s="120"/>
      <c r="AT1277" s="120"/>
      <c r="AY1277" s="1"/>
    </row>
    <row r="1278" spans="42:51">
      <c r="AP1278" s="17"/>
      <c r="AQ1278" s="17"/>
      <c r="AR1278" s="17"/>
      <c r="AS1278" s="120"/>
      <c r="AT1278" s="120"/>
      <c r="AY1278" s="1"/>
    </row>
    <row r="1279" spans="42:51">
      <c r="AP1279" s="17"/>
      <c r="AQ1279" s="17"/>
      <c r="AR1279" s="17"/>
      <c r="AS1279" s="120"/>
      <c r="AT1279" s="120"/>
      <c r="AY1279" s="1"/>
    </row>
    <row r="1280" spans="42:51">
      <c r="AP1280" s="17"/>
      <c r="AQ1280" s="17"/>
      <c r="AR1280" s="17"/>
      <c r="AS1280" s="120"/>
      <c r="AT1280" s="120"/>
      <c r="AY1280" s="1"/>
    </row>
    <row r="1281" spans="42:51">
      <c r="AP1281" s="17"/>
      <c r="AQ1281" s="17"/>
      <c r="AR1281" s="17"/>
      <c r="AS1281" s="120"/>
      <c r="AT1281" s="120"/>
      <c r="AY1281" s="1"/>
    </row>
    <row r="1282" spans="42:51">
      <c r="AP1282" s="17"/>
      <c r="AQ1282" s="17"/>
      <c r="AR1282" s="17"/>
      <c r="AS1282" s="120"/>
      <c r="AT1282" s="120"/>
      <c r="AY1282" s="1"/>
    </row>
    <row r="1283" spans="42:51">
      <c r="AP1283" s="17"/>
      <c r="AQ1283" s="17"/>
      <c r="AR1283" s="17"/>
      <c r="AS1283" s="120"/>
      <c r="AT1283" s="120"/>
      <c r="AY1283" s="1"/>
    </row>
    <row r="1284" spans="42:51">
      <c r="AP1284" s="17"/>
      <c r="AQ1284" s="17"/>
      <c r="AR1284" s="17"/>
      <c r="AS1284" s="120"/>
      <c r="AT1284" s="120"/>
      <c r="AY1284" s="1"/>
    </row>
    <row r="1285" spans="42:51">
      <c r="AP1285" s="17"/>
      <c r="AQ1285" s="17"/>
      <c r="AR1285" s="17"/>
      <c r="AS1285" s="120"/>
      <c r="AT1285" s="120"/>
      <c r="AY1285" s="1"/>
    </row>
    <row r="1286" spans="42:51">
      <c r="AP1286" s="17"/>
      <c r="AQ1286" s="17"/>
      <c r="AR1286" s="17"/>
      <c r="AS1286" s="120"/>
      <c r="AT1286" s="120"/>
      <c r="AY1286" s="1"/>
    </row>
    <row r="1287" spans="42:51">
      <c r="AP1287" s="17"/>
      <c r="AQ1287" s="17"/>
      <c r="AR1287" s="17"/>
      <c r="AS1287" s="120"/>
      <c r="AT1287" s="120"/>
      <c r="AY1287" s="1"/>
    </row>
    <row r="1288" spans="42:51">
      <c r="AP1288" s="17"/>
      <c r="AQ1288" s="17"/>
      <c r="AR1288" s="17"/>
      <c r="AS1288" s="120"/>
      <c r="AT1288" s="120"/>
      <c r="AY1288" s="1"/>
    </row>
    <row r="1289" spans="42:51">
      <c r="AP1289" s="17"/>
      <c r="AQ1289" s="17"/>
      <c r="AR1289" s="17"/>
      <c r="AS1289" s="120"/>
      <c r="AT1289" s="120"/>
      <c r="AY1289" s="1"/>
    </row>
    <row r="1290" spans="42:51">
      <c r="AP1290" s="17"/>
      <c r="AQ1290" s="17"/>
      <c r="AR1290" s="17"/>
      <c r="AS1290" s="120"/>
      <c r="AT1290" s="120"/>
      <c r="AY1290" s="1"/>
    </row>
    <row r="1291" spans="42:51">
      <c r="AP1291" s="17"/>
      <c r="AQ1291" s="17"/>
      <c r="AR1291" s="17"/>
      <c r="AS1291" s="120"/>
      <c r="AT1291" s="120"/>
      <c r="AY1291" s="1"/>
    </row>
    <row r="1292" spans="42:51">
      <c r="AP1292" s="17"/>
      <c r="AQ1292" s="17"/>
      <c r="AR1292" s="17"/>
      <c r="AS1292" s="120"/>
      <c r="AT1292" s="120"/>
      <c r="AY1292" s="1"/>
    </row>
    <row r="1293" spans="42:51">
      <c r="AP1293" s="17"/>
      <c r="AQ1293" s="17"/>
      <c r="AR1293" s="17"/>
      <c r="AS1293" s="120"/>
      <c r="AT1293" s="120"/>
      <c r="AY1293" s="1"/>
    </row>
    <row r="1294" spans="42:51">
      <c r="AP1294" s="17"/>
      <c r="AQ1294" s="17"/>
      <c r="AR1294" s="17"/>
      <c r="AS1294" s="120"/>
      <c r="AT1294" s="120"/>
      <c r="AY1294" s="1"/>
    </row>
    <row r="1295" spans="42:51">
      <c r="AP1295" s="17"/>
      <c r="AQ1295" s="17"/>
      <c r="AR1295" s="17"/>
      <c r="AS1295" s="120"/>
      <c r="AT1295" s="120"/>
      <c r="AY1295" s="1"/>
    </row>
    <row r="1296" spans="42:51">
      <c r="AP1296" s="17"/>
      <c r="AQ1296" s="17"/>
      <c r="AR1296" s="17"/>
      <c r="AS1296" s="120"/>
      <c r="AT1296" s="120"/>
      <c r="AY1296" s="1"/>
    </row>
    <row r="1297" spans="42:51">
      <c r="AP1297" s="17"/>
      <c r="AQ1297" s="17"/>
      <c r="AR1297" s="17"/>
      <c r="AS1297" s="120"/>
      <c r="AT1297" s="120"/>
      <c r="AY1297" s="1"/>
    </row>
    <row r="1298" spans="42:51">
      <c r="AP1298" s="17"/>
      <c r="AQ1298" s="17"/>
      <c r="AR1298" s="17"/>
      <c r="AS1298" s="120"/>
      <c r="AT1298" s="120"/>
      <c r="AY1298" s="1"/>
    </row>
    <row r="1299" spans="42:51">
      <c r="AP1299" s="17"/>
      <c r="AQ1299" s="17"/>
      <c r="AR1299" s="17"/>
      <c r="AS1299" s="120"/>
      <c r="AT1299" s="120"/>
      <c r="AY1299" s="1"/>
    </row>
    <row r="1300" spans="42:51">
      <c r="AP1300" s="17"/>
      <c r="AQ1300" s="17"/>
      <c r="AR1300" s="17"/>
      <c r="AS1300" s="120"/>
      <c r="AT1300" s="120"/>
      <c r="AY1300" s="1"/>
    </row>
    <row r="1301" spans="42:51">
      <c r="AP1301" s="17"/>
      <c r="AQ1301" s="17"/>
      <c r="AR1301" s="17"/>
      <c r="AS1301" s="120"/>
      <c r="AT1301" s="120"/>
      <c r="AY1301" s="1"/>
    </row>
    <row r="1302" spans="42:51">
      <c r="AP1302" s="17"/>
      <c r="AQ1302" s="17"/>
      <c r="AR1302" s="17"/>
      <c r="AS1302" s="120"/>
      <c r="AT1302" s="120"/>
      <c r="AY1302" s="1"/>
    </row>
    <row r="1303" spans="42:51">
      <c r="AP1303" s="17"/>
      <c r="AQ1303" s="17"/>
      <c r="AR1303" s="17"/>
      <c r="AS1303" s="120"/>
      <c r="AT1303" s="120"/>
      <c r="AY1303" s="1"/>
    </row>
    <row r="1304" spans="42:51">
      <c r="AP1304" s="17"/>
      <c r="AQ1304" s="17"/>
      <c r="AR1304" s="17"/>
      <c r="AS1304" s="120"/>
      <c r="AT1304" s="120"/>
      <c r="AY1304" s="1"/>
    </row>
    <row r="1305" spans="42:51">
      <c r="AP1305" s="17"/>
      <c r="AQ1305" s="17"/>
      <c r="AR1305" s="17"/>
      <c r="AS1305" s="120"/>
      <c r="AT1305" s="120"/>
      <c r="AY1305" s="1"/>
    </row>
    <row r="1306" spans="42:51">
      <c r="AP1306" s="17"/>
      <c r="AQ1306" s="17"/>
      <c r="AR1306" s="17"/>
      <c r="AS1306" s="120"/>
      <c r="AT1306" s="120"/>
      <c r="AY1306" s="1"/>
    </row>
    <row r="1307" spans="42:51">
      <c r="AP1307" s="17"/>
      <c r="AQ1307" s="17"/>
      <c r="AR1307" s="17"/>
      <c r="AS1307" s="120"/>
      <c r="AT1307" s="120"/>
      <c r="AY1307" s="1"/>
    </row>
    <row r="1308" spans="42:51">
      <c r="AP1308" s="17"/>
      <c r="AQ1308" s="17"/>
      <c r="AR1308" s="17"/>
      <c r="AS1308" s="120"/>
      <c r="AT1308" s="120"/>
      <c r="AY1308" s="1"/>
    </row>
    <row r="1309" spans="42:51">
      <c r="AP1309" s="17"/>
      <c r="AQ1309" s="17"/>
      <c r="AR1309" s="17"/>
      <c r="AS1309" s="120"/>
      <c r="AT1309" s="120"/>
      <c r="AY1309" s="1"/>
    </row>
    <row r="1310" spans="42:51">
      <c r="AP1310" s="17"/>
      <c r="AQ1310" s="17"/>
      <c r="AR1310" s="17"/>
      <c r="AS1310" s="120"/>
      <c r="AT1310" s="120"/>
      <c r="AY1310" s="1"/>
    </row>
    <row r="1311" spans="42:51">
      <c r="AP1311" s="17"/>
      <c r="AQ1311" s="17"/>
      <c r="AR1311" s="17"/>
      <c r="AS1311" s="120"/>
      <c r="AT1311" s="120"/>
      <c r="AY1311" s="1"/>
    </row>
    <row r="1312" spans="42:51">
      <c r="AP1312" s="17"/>
      <c r="AQ1312" s="17"/>
      <c r="AR1312" s="17"/>
      <c r="AS1312" s="120"/>
      <c r="AT1312" s="120"/>
      <c r="AY1312" s="1"/>
    </row>
    <row r="1313" spans="42:51">
      <c r="AP1313" s="17"/>
      <c r="AQ1313" s="17"/>
      <c r="AR1313" s="17"/>
      <c r="AS1313" s="120"/>
      <c r="AT1313" s="120"/>
      <c r="AY1313" s="1"/>
    </row>
    <row r="1314" spans="42:51">
      <c r="AP1314" s="17"/>
      <c r="AQ1314" s="17"/>
      <c r="AR1314" s="17"/>
      <c r="AS1314" s="120"/>
      <c r="AT1314" s="120"/>
      <c r="AY1314" s="1"/>
    </row>
    <row r="1315" spans="42:51">
      <c r="AP1315" s="17"/>
      <c r="AQ1315" s="17"/>
      <c r="AR1315" s="17"/>
      <c r="AS1315" s="120"/>
      <c r="AT1315" s="120"/>
      <c r="AY1315" s="1"/>
    </row>
    <row r="1316" spans="42:51">
      <c r="AP1316" s="17"/>
      <c r="AQ1316" s="17"/>
      <c r="AR1316" s="17"/>
      <c r="AS1316" s="120"/>
      <c r="AT1316" s="120"/>
      <c r="AY1316" s="1"/>
    </row>
    <row r="1317" spans="42:51">
      <c r="AP1317" s="17"/>
      <c r="AQ1317" s="17"/>
      <c r="AR1317" s="17"/>
      <c r="AS1317" s="120"/>
      <c r="AT1317" s="120"/>
      <c r="AY1317" s="1"/>
    </row>
    <row r="1318" spans="42:51">
      <c r="AP1318" s="17"/>
      <c r="AQ1318" s="17"/>
      <c r="AR1318" s="17"/>
      <c r="AS1318" s="120"/>
      <c r="AT1318" s="120"/>
      <c r="AY1318" s="1"/>
    </row>
    <row r="1319" spans="42:51">
      <c r="AP1319" s="17"/>
      <c r="AQ1319" s="17"/>
      <c r="AR1319" s="17"/>
      <c r="AS1319" s="120"/>
      <c r="AT1319" s="120"/>
      <c r="AY1319" s="1"/>
    </row>
    <row r="1320" spans="42:51">
      <c r="AP1320" s="17"/>
      <c r="AQ1320" s="17"/>
      <c r="AR1320" s="17"/>
      <c r="AS1320" s="120"/>
      <c r="AT1320" s="120"/>
      <c r="AY1320" s="1"/>
    </row>
    <row r="1321" spans="42:51">
      <c r="AP1321" s="17"/>
      <c r="AQ1321" s="17"/>
      <c r="AR1321" s="17"/>
      <c r="AS1321" s="120"/>
      <c r="AT1321" s="120"/>
      <c r="AY1321" s="1"/>
    </row>
    <row r="1322" spans="42:51">
      <c r="AP1322" s="17"/>
      <c r="AQ1322" s="17"/>
      <c r="AR1322" s="17"/>
      <c r="AS1322" s="120"/>
      <c r="AT1322" s="120"/>
      <c r="AY1322" s="1"/>
    </row>
    <row r="1323" spans="42:51">
      <c r="AP1323" s="17"/>
      <c r="AQ1323" s="17"/>
      <c r="AR1323" s="17"/>
      <c r="AS1323" s="120"/>
      <c r="AT1323" s="120"/>
      <c r="AY1323" s="1"/>
    </row>
    <row r="1324" spans="42:51">
      <c r="AP1324" s="17"/>
      <c r="AQ1324" s="17"/>
      <c r="AR1324" s="17"/>
      <c r="AS1324" s="120"/>
      <c r="AT1324" s="120"/>
      <c r="AY1324" s="1"/>
    </row>
    <row r="1325" spans="42:51">
      <c r="AP1325" s="17"/>
      <c r="AQ1325" s="17"/>
      <c r="AR1325" s="17"/>
      <c r="AS1325" s="120"/>
      <c r="AT1325" s="120"/>
      <c r="AY1325" s="1"/>
    </row>
    <row r="1326" spans="42:51">
      <c r="AP1326" s="17"/>
      <c r="AQ1326" s="17"/>
      <c r="AR1326" s="17"/>
      <c r="AS1326" s="120"/>
      <c r="AT1326" s="120"/>
      <c r="AY1326" s="1"/>
    </row>
    <row r="1327" spans="42:51">
      <c r="AP1327" s="17"/>
      <c r="AQ1327" s="17"/>
      <c r="AR1327" s="17"/>
      <c r="AS1327" s="120"/>
      <c r="AT1327" s="120"/>
      <c r="AY1327" s="1"/>
    </row>
    <row r="1328" spans="42:51">
      <c r="AP1328" s="17"/>
      <c r="AQ1328" s="17"/>
      <c r="AR1328" s="17"/>
      <c r="AS1328" s="120"/>
      <c r="AT1328" s="120"/>
      <c r="AY1328" s="1"/>
    </row>
    <row r="1329" spans="42:51">
      <c r="AP1329" s="17"/>
      <c r="AQ1329" s="17"/>
      <c r="AR1329" s="17"/>
      <c r="AS1329" s="120"/>
      <c r="AT1329" s="120"/>
      <c r="AY1329" s="1"/>
    </row>
    <row r="1330" spans="42:51">
      <c r="AP1330" s="17"/>
      <c r="AQ1330" s="17"/>
      <c r="AR1330" s="17"/>
      <c r="AS1330" s="120"/>
      <c r="AT1330" s="120"/>
      <c r="AY1330" s="1"/>
    </row>
    <row r="1331" spans="42:51">
      <c r="AP1331" s="17"/>
      <c r="AQ1331" s="17"/>
      <c r="AR1331" s="17"/>
      <c r="AS1331" s="120"/>
      <c r="AT1331" s="120"/>
      <c r="AY1331" s="1"/>
    </row>
    <row r="1332" spans="42:51">
      <c r="AP1332" s="17"/>
      <c r="AQ1332" s="17"/>
      <c r="AR1332" s="17"/>
      <c r="AS1332" s="120"/>
      <c r="AT1332" s="120"/>
      <c r="AY1332" s="1"/>
    </row>
    <row r="1333" spans="42:51">
      <c r="AP1333" s="17"/>
      <c r="AQ1333" s="17"/>
      <c r="AR1333" s="17"/>
      <c r="AS1333" s="120"/>
      <c r="AT1333" s="120"/>
      <c r="AY1333" s="1"/>
    </row>
    <row r="1334" spans="42:51">
      <c r="AP1334" s="17"/>
      <c r="AQ1334" s="17"/>
      <c r="AR1334" s="17"/>
      <c r="AS1334" s="120"/>
      <c r="AT1334" s="120"/>
      <c r="AY1334" s="1"/>
    </row>
    <row r="1335" spans="42:51">
      <c r="AP1335" s="17"/>
      <c r="AQ1335" s="17"/>
      <c r="AR1335" s="17"/>
      <c r="AS1335" s="120"/>
      <c r="AT1335" s="120"/>
      <c r="AY1335" s="1"/>
    </row>
    <row r="1336" spans="42:51">
      <c r="AP1336" s="17"/>
      <c r="AQ1336" s="17"/>
      <c r="AR1336" s="17"/>
      <c r="AS1336" s="120"/>
      <c r="AT1336" s="120"/>
      <c r="AY1336" s="1"/>
    </row>
  </sheetData>
  <mergeCells count="21">
    <mergeCell ref="AU1:AX1"/>
    <mergeCell ref="AU2:AU3"/>
    <mergeCell ref="AV2:AV3"/>
    <mergeCell ref="AW2:AW3"/>
    <mergeCell ref="AX2:AX3"/>
    <mergeCell ref="AQ1:AT1"/>
    <mergeCell ref="AQ2:AQ3"/>
    <mergeCell ref="AR2:AR3"/>
    <mergeCell ref="AS2:AS3"/>
    <mergeCell ref="AT2:AT3"/>
    <mergeCell ref="D1:W1"/>
    <mergeCell ref="X2:Z2"/>
    <mergeCell ref="AA2:AD2"/>
    <mergeCell ref="AE2:AI2"/>
    <mergeCell ref="AL2:AP2"/>
    <mergeCell ref="AJ1:AP1"/>
    <mergeCell ref="D2:G2"/>
    <mergeCell ref="H2:K2"/>
    <mergeCell ref="L2:O2"/>
    <mergeCell ref="P2:S2"/>
    <mergeCell ref="T2:W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30"/>
  <sheetViews>
    <sheetView workbookViewId="0">
      <selection activeCell="H86" sqref="H86:H87"/>
    </sheetView>
  </sheetViews>
  <sheetFormatPr defaultRowHeight="15"/>
  <cols>
    <col min="1" max="1" width="12.140625" style="1" customWidth="1"/>
    <col min="2" max="2" width="9.85546875" style="1" customWidth="1"/>
    <col min="3" max="3" width="9.85546875" style="17" customWidth="1"/>
    <col min="4" max="4" width="9.140625" style="13" customWidth="1"/>
    <col min="5" max="5" width="9.140625" style="1" customWidth="1"/>
    <col min="6" max="6" width="9.140625" style="130" customWidth="1"/>
    <col min="7" max="7" width="9.140625" style="16" customWidth="1"/>
    <col min="8" max="8" width="28.42578125" style="24" customWidth="1"/>
    <col min="9" max="9" width="26.42578125" customWidth="1"/>
  </cols>
  <sheetData>
    <row r="1" spans="1:9">
      <c r="A1" s="23"/>
      <c r="B1" s="23"/>
      <c r="C1" s="23"/>
      <c r="D1" s="158" t="s">
        <v>59</v>
      </c>
      <c r="E1" s="159"/>
      <c r="F1" s="159"/>
      <c r="G1" s="160"/>
      <c r="I1" s="1"/>
    </row>
    <row r="2" spans="1:9" s="31" customFormat="1" ht="45">
      <c r="A2" s="32" t="s">
        <v>0</v>
      </c>
      <c r="B2" s="33" t="s">
        <v>4</v>
      </c>
      <c r="C2" s="57" t="s">
        <v>58</v>
      </c>
      <c r="D2" s="58" t="s">
        <v>57</v>
      </c>
      <c r="E2" s="54" t="s">
        <v>60</v>
      </c>
      <c r="F2" s="129" t="s">
        <v>61</v>
      </c>
      <c r="G2" s="56" t="s">
        <v>62</v>
      </c>
      <c r="H2" s="55" t="s">
        <v>63</v>
      </c>
      <c r="I2" s="83" t="s">
        <v>151</v>
      </c>
    </row>
    <row r="3" spans="1:9">
      <c r="A3" s="1" t="s">
        <v>110</v>
      </c>
      <c r="B3" s="84">
        <v>40779</v>
      </c>
      <c r="E3" s="1">
        <v>30</v>
      </c>
      <c r="F3" s="130">
        <v>7</v>
      </c>
      <c r="G3" s="16">
        <v>0.2</v>
      </c>
      <c r="I3" s="1" t="s">
        <v>221</v>
      </c>
    </row>
    <row r="4" spans="1:9">
      <c r="A4" s="1" t="s">
        <v>109</v>
      </c>
      <c r="B4" s="84">
        <v>40773</v>
      </c>
      <c r="E4" s="1">
        <v>42</v>
      </c>
      <c r="F4" s="130">
        <v>7</v>
      </c>
      <c r="G4" s="16">
        <v>0.27</v>
      </c>
      <c r="H4" s="24" t="s">
        <v>268</v>
      </c>
      <c r="I4" s="1"/>
    </row>
    <row r="5" spans="1:9">
      <c r="A5" s="1" t="s">
        <v>109</v>
      </c>
      <c r="B5" s="84">
        <v>40773</v>
      </c>
      <c r="E5" s="1">
        <v>54</v>
      </c>
      <c r="F5" s="130">
        <v>8</v>
      </c>
      <c r="G5" s="16">
        <v>0.11</v>
      </c>
      <c r="H5" s="24" t="s">
        <v>268</v>
      </c>
      <c r="I5" s="1"/>
    </row>
    <row r="6" spans="1:9">
      <c r="A6" s="1" t="s">
        <v>109</v>
      </c>
      <c r="B6" s="84">
        <v>40773</v>
      </c>
      <c r="E6" s="1">
        <v>66</v>
      </c>
      <c r="F6" s="130">
        <v>9</v>
      </c>
      <c r="G6" s="16">
        <v>0.17</v>
      </c>
      <c r="H6" s="24" t="s">
        <v>268</v>
      </c>
      <c r="I6" s="1"/>
    </row>
    <row r="7" spans="1:9">
      <c r="A7" s="1" t="s">
        <v>109</v>
      </c>
      <c r="B7" s="84">
        <v>40773</v>
      </c>
      <c r="E7" s="1">
        <v>78</v>
      </c>
      <c r="F7" s="130">
        <v>9</v>
      </c>
      <c r="G7" s="16">
        <v>0.13</v>
      </c>
      <c r="H7" s="24" t="s">
        <v>268</v>
      </c>
      <c r="I7" s="1"/>
    </row>
    <row r="8" spans="1:9">
      <c r="A8" s="1" t="s">
        <v>109</v>
      </c>
      <c r="B8" s="84">
        <v>40773</v>
      </c>
      <c r="E8" s="1">
        <v>90</v>
      </c>
      <c r="F8" s="130">
        <v>9</v>
      </c>
      <c r="G8" s="16">
        <v>0.05</v>
      </c>
      <c r="H8" s="24" t="s">
        <v>268</v>
      </c>
      <c r="I8" s="1"/>
    </row>
    <row r="9" spans="1:9">
      <c r="A9" s="1" t="s">
        <v>109</v>
      </c>
      <c r="B9" s="84">
        <v>40773</v>
      </c>
      <c r="E9" s="1">
        <v>102</v>
      </c>
      <c r="F9" s="130">
        <v>8</v>
      </c>
      <c r="G9" s="16">
        <v>0.04</v>
      </c>
      <c r="H9" s="24" t="s">
        <v>268</v>
      </c>
      <c r="I9" s="1"/>
    </row>
    <row r="10" spans="1:9">
      <c r="A10" s="1" t="s">
        <v>109</v>
      </c>
      <c r="B10" s="84">
        <v>40773</v>
      </c>
      <c r="E10" s="1">
        <v>120</v>
      </c>
      <c r="F10" s="130">
        <v>7</v>
      </c>
      <c r="G10" s="16">
        <v>7.0000000000000007E-2</v>
      </c>
      <c r="H10" s="24" t="s">
        <v>268</v>
      </c>
      <c r="I10" s="1"/>
    </row>
    <row r="11" spans="1:9">
      <c r="A11" s="1" t="s">
        <v>109</v>
      </c>
      <c r="B11" s="84">
        <v>40773</v>
      </c>
      <c r="E11" s="1">
        <v>132</v>
      </c>
      <c r="F11" s="130">
        <v>6</v>
      </c>
      <c r="G11" s="16">
        <v>0.09</v>
      </c>
      <c r="H11" s="24" t="s">
        <v>268</v>
      </c>
      <c r="I11" s="1"/>
    </row>
    <row r="12" spans="1:9">
      <c r="A12" s="1" t="s">
        <v>109</v>
      </c>
      <c r="B12" s="84">
        <v>40773</v>
      </c>
      <c r="E12" s="1">
        <v>144</v>
      </c>
      <c r="F12" s="130">
        <v>45</v>
      </c>
      <c r="G12" s="16">
        <v>0.01</v>
      </c>
      <c r="H12" s="24" t="s">
        <v>268</v>
      </c>
      <c r="I12" s="1"/>
    </row>
    <row r="13" spans="1:9">
      <c r="A13" s="1" t="s">
        <v>93</v>
      </c>
      <c r="B13" s="84">
        <v>40767</v>
      </c>
      <c r="C13" s="85">
        <v>0.60416666666666663</v>
      </c>
      <c r="D13" s="13" t="s">
        <v>208</v>
      </c>
      <c r="E13" s="1">
        <v>11</v>
      </c>
      <c r="F13" s="130">
        <v>5.5</v>
      </c>
      <c r="G13" s="16">
        <v>0</v>
      </c>
      <c r="H13" s="24" t="s">
        <v>268</v>
      </c>
      <c r="I13" s="1"/>
    </row>
    <row r="14" spans="1:9">
      <c r="A14" s="1" t="s">
        <v>93</v>
      </c>
      <c r="B14" s="84">
        <v>40767</v>
      </c>
      <c r="C14" s="85">
        <v>0.60416666666666663</v>
      </c>
      <c r="D14" s="13" t="s">
        <v>208</v>
      </c>
      <c r="E14" s="1">
        <v>22</v>
      </c>
      <c r="F14" s="130">
        <v>7</v>
      </c>
      <c r="G14" s="16">
        <v>0.12</v>
      </c>
      <c r="H14" s="24" t="s">
        <v>268</v>
      </c>
      <c r="I14" s="1"/>
    </row>
    <row r="15" spans="1:9">
      <c r="A15" s="1" t="s">
        <v>93</v>
      </c>
      <c r="B15" s="84">
        <v>40767</v>
      </c>
      <c r="C15" s="85">
        <v>0.60416666666666663</v>
      </c>
      <c r="D15" s="13" t="s">
        <v>208</v>
      </c>
      <c r="E15" s="1">
        <v>33</v>
      </c>
      <c r="F15" s="130">
        <v>9</v>
      </c>
      <c r="G15" s="16">
        <v>0.16</v>
      </c>
      <c r="H15" s="24" t="s">
        <v>268</v>
      </c>
      <c r="I15" s="1"/>
    </row>
    <row r="16" spans="1:9">
      <c r="A16" s="1" t="s">
        <v>93</v>
      </c>
      <c r="B16" s="84">
        <v>40767</v>
      </c>
      <c r="C16" s="85">
        <v>0.60416666666666663</v>
      </c>
      <c r="D16" s="13" t="s">
        <v>208</v>
      </c>
      <c r="E16" s="1">
        <v>44</v>
      </c>
      <c r="F16" s="130">
        <v>8</v>
      </c>
      <c r="G16" s="16">
        <v>0.17</v>
      </c>
      <c r="H16" s="24" t="s">
        <v>268</v>
      </c>
      <c r="I16" s="1"/>
    </row>
    <row r="17" spans="1:9">
      <c r="A17" s="1" t="s">
        <v>93</v>
      </c>
      <c r="B17" s="84">
        <v>40767</v>
      </c>
      <c r="C17" s="85">
        <v>0.60416666666666663</v>
      </c>
      <c r="D17" s="13" t="s">
        <v>208</v>
      </c>
      <c r="E17" s="1">
        <v>55</v>
      </c>
      <c r="F17" s="130">
        <v>12</v>
      </c>
      <c r="G17" s="16">
        <v>0.12</v>
      </c>
      <c r="H17" s="24" t="s">
        <v>268</v>
      </c>
      <c r="I17" s="1"/>
    </row>
    <row r="18" spans="1:9">
      <c r="A18" s="1" t="s">
        <v>93</v>
      </c>
      <c r="B18" s="84">
        <v>40767</v>
      </c>
      <c r="C18" s="85">
        <v>0.60416666666666663</v>
      </c>
      <c r="D18" s="13" t="s">
        <v>208</v>
      </c>
      <c r="E18" s="1">
        <v>66</v>
      </c>
      <c r="F18" s="130">
        <v>12</v>
      </c>
      <c r="G18" s="16">
        <v>0.13</v>
      </c>
      <c r="H18" s="24" t="s">
        <v>268</v>
      </c>
      <c r="I18" s="1"/>
    </row>
    <row r="19" spans="1:9">
      <c r="A19" s="1" t="s">
        <v>93</v>
      </c>
      <c r="B19" s="84">
        <v>40767</v>
      </c>
      <c r="C19" s="85">
        <v>0.60416666666666663</v>
      </c>
      <c r="D19" s="13" t="s">
        <v>208</v>
      </c>
      <c r="E19" s="1">
        <v>77</v>
      </c>
      <c r="F19" s="130">
        <v>11</v>
      </c>
      <c r="G19" s="16">
        <v>0.12</v>
      </c>
      <c r="H19" s="24" t="s">
        <v>268</v>
      </c>
      <c r="I19" s="1"/>
    </row>
    <row r="20" spans="1:9">
      <c r="A20" s="1" t="s">
        <v>93</v>
      </c>
      <c r="B20" s="84">
        <v>40767</v>
      </c>
      <c r="C20" s="85">
        <v>0.60416666666666663</v>
      </c>
      <c r="D20" s="13" t="s">
        <v>208</v>
      </c>
      <c r="E20" s="1">
        <v>88</v>
      </c>
      <c r="F20" s="130">
        <v>10</v>
      </c>
      <c r="G20" s="16">
        <v>0.09</v>
      </c>
      <c r="H20" s="24" t="s">
        <v>268</v>
      </c>
      <c r="I20" s="1"/>
    </row>
    <row r="21" spans="1:9">
      <c r="A21" s="1" t="s">
        <v>93</v>
      </c>
      <c r="B21" s="84">
        <v>40767</v>
      </c>
      <c r="C21" s="85">
        <v>0.60416666666666663</v>
      </c>
      <c r="D21" s="13" t="s">
        <v>208</v>
      </c>
      <c r="E21" s="1">
        <v>99</v>
      </c>
      <c r="F21" s="130">
        <v>6</v>
      </c>
      <c r="G21" s="16">
        <v>0</v>
      </c>
      <c r="H21" s="24" t="s">
        <v>268</v>
      </c>
      <c r="I21" s="1"/>
    </row>
    <row r="22" spans="1:9">
      <c r="A22" s="1" t="s">
        <v>93</v>
      </c>
      <c r="B22" s="84">
        <v>40767</v>
      </c>
      <c r="C22" s="85">
        <v>0.60416666666666663</v>
      </c>
      <c r="D22" s="13" t="s">
        <v>208</v>
      </c>
      <c r="E22" s="1">
        <v>111</v>
      </c>
      <c r="F22" s="130">
        <v>0</v>
      </c>
      <c r="G22" s="16">
        <v>0</v>
      </c>
      <c r="H22" s="24" t="s">
        <v>268</v>
      </c>
      <c r="I22" s="1"/>
    </row>
    <row r="23" spans="1:9">
      <c r="A23" s="1" t="s">
        <v>97</v>
      </c>
      <c r="B23" s="84">
        <v>40767</v>
      </c>
      <c r="C23" s="17">
        <v>1430</v>
      </c>
      <c r="E23" s="1">
        <v>5</v>
      </c>
      <c r="F23" s="130">
        <v>1</v>
      </c>
      <c r="G23" s="16">
        <v>0</v>
      </c>
      <c r="H23" s="24" t="s">
        <v>268</v>
      </c>
      <c r="I23" s="1"/>
    </row>
    <row r="24" spans="1:9">
      <c r="A24" s="1" t="s">
        <v>97</v>
      </c>
      <c r="B24" s="84">
        <v>40767</v>
      </c>
      <c r="C24" s="17">
        <v>1430</v>
      </c>
      <c r="E24" s="1">
        <v>1</v>
      </c>
      <c r="F24" s="130">
        <v>5</v>
      </c>
      <c r="G24" s="16">
        <v>0.16</v>
      </c>
      <c r="H24" s="24" t="s">
        <v>268</v>
      </c>
      <c r="I24" s="1"/>
    </row>
    <row r="25" spans="1:9">
      <c r="A25" s="1" t="s">
        <v>97</v>
      </c>
      <c r="B25" s="84">
        <v>40767</v>
      </c>
      <c r="C25" s="17">
        <v>1430</v>
      </c>
      <c r="E25" s="1">
        <v>16</v>
      </c>
      <c r="F25" s="130">
        <v>6</v>
      </c>
      <c r="G25" s="16">
        <v>0.16</v>
      </c>
      <c r="H25" s="24" t="s">
        <v>268</v>
      </c>
      <c r="I25" s="1"/>
    </row>
    <row r="26" spans="1:9">
      <c r="A26" s="1" t="s">
        <v>97</v>
      </c>
      <c r="B26" s="84">
        <v>40767</v>
      </c>
      <c r="C26" s="17">
        <v>1430</v>
      </c>
      <c r="E26" s="1">
        <v>22</v>
      </c>
      <c r="F26" s="130">
        <v>6</v>
      </c>
      <c r="G26" s="16">
        <v>0.12</v>
      </c>
      <c r="H26" s="24" t="s">
        <v>268</v>
      </c>
      <c r="I26" s="1"/>
    </row>
    <row r="27" spans="1:9">
      <c r="A27" s="1" t="s">
        <v>97</v>
      </c>
      <c r="B27" s="84">
        <v>40767</v>
      </c>
      <c r="C27" s="17">
        <v>1430</v>
      </c>
      <c r="E27" s="1">
        <v>31</v>
      </c>
      <c r="F27" s="130">
        <v>7</v>
      </c>
      <c r="G27" s="16">
        <v>0.15</v>
      </c>
      <c r="H27" s="24" t="s">
        <v>268</v>
      </c>
      <c r="I27" s="1"/>
    </row>
    <row r="28" spans="1:9">
      <c r="A28" s="1" t="s">
        <v>97</v>
      </c>
      <c r="B28" s="84">
        <v>40767</v>
      </c>
      <c r="C28" s="17">
        <v>1430</v>
      </c>
      <c r="E28" s="1">
        <v>36</v>
      </c>
      <c r="F28" s="130">
        <v>4</v>
      </c>
      <c r="G28" s="16">
        <v>0</v>
      </c>
      <c r="H28" s="24" t="s">
        <v>268</v>
      </c>
      <c r="I28" s="1"/>
    </row>
    <row r="29" spans="1:9">
      <c r="A29" s="1" t="s">
        <v>97</v>
      </c>
      <c r="B29" s="84">
        <v>40767</v>
      </c>
      <c r="C29" s="17">
        <v>1430</v>
      </c>
      <c r="E29" s="1">
        <v>4</v>
      </c>
      <c r="F29" s="130">
        <v>1</v>
      </c>
      <c r="G29" s="16">
        <v>0</v>
      </c>
      <c r="H29" s="24" t="s">
        <v>268</v>
      </c>
      <c r="I29" s="1"/>
    </row>
    <row r="30" spans="1:9">
      <c r="A30" s="1" t="s">
        <v>91</v>
      </c>
      <c r="B30" s="84">
        <v>40771</v>
      </c>
      <c r="C30" s="17">
        <v>1232</v>
      </c>
      <c r="D30" s="13" t="s">
        <v>217</v>
      </c>
      <c r="E30" s="1">
        <v>12</v>
      </c>
      <c r="F30" s="130">
        <v>3</v>
      </c>
      <c r="G30" s="16">
        <v>0</v>
      </c>
      <c r="H30" s="24" t="s">
        <v>268</v>
      </c>
      <c r="I30" s="1"/>
    </row>
    <row r="31" spans="1:9">
      <c r="A31" s="1" t="s">
        <v>91</v>
      </c>
      <c r="B31" s="84">
        <v>40771</v>
      </c>
      <c r="C31" s="17">
        <v>1232</v>
      </c>
      <c r="D31" s="13" t="s">
        <v>217</v>
      </c>
      <c r="E31" s="1">
        <v>24</v>
      </c>
      <c r="F31" s="130">
        <v>10</v>
      </c>
      <c r="G31" s="16">
        <v>0.12</v>
      </c>
      <c r="H31" s="24" t="s">
        <v>268</v>
      </c>
      <c r="I31" s="1"/>
    </row>
    <row r="32" spans="1:9">
      <c r="A32" s="1" t="s">
        <v>91</v>
      </c>
      <c r="B32" s="84">
        <v>40771</v>
      </c>
      <c r="C32" s="17">
        <v>1232</v>
      </c>
      <c r="D32" s="13" t="s">
        <v>217</v>
      </c>
      <c r="E32" s="1">
        <v>36</v>
      </c>
      <c r="F32" s="130">
        <v>20</v>
      </c>
      <c r="G32" s="16">
        <v>0.17</v>
      </c>
      <c r="H32" s="24" t="s">
        <v>268</v>
      </c>
      <c r="I32" s="1"/>
    </row>
    <row r="33" spans="1:9">
      <c r="A33" s="1" t="s">
        <v>91</v>
      </c>
      <c r="B33" s="84">
        <v>40771</v>
      </c>
      <c r="C33" s="17">
        <v>1232</v>
      </c>
      <c r="D33" s="13" t="s">
        <v>217</v>
      </c>
      <c r="E33" s="1">
        <v>48</v>
      </c>
      <c r="F33" s="130">
        <v>40</v>
      </c>
      <c r="G33" s="16">
        <v>0.19</v>
      </c>
      <c r="H33" s="24" t="s">
        <v>268</v>
      </c>
      <c r="I33" s="1"/>
    </row>
    <row r="34" spans="1:9">
      <c r="A34" s="1" t="s">
        <v>91</v>
      </c>
      <c r="B34" s="84">
        <v>40771</v>
      </c>
      <c r="C34" s="17">
        <v>1232</v>
      </c>
      <c r="D34" s="13" t="s">
        <v>217</v>
      </c>
      <c r="E34" s="1">
        <v>60</v>
      </c>
      <c r="F34" s="130">
        <v>30</v>
      </c>
      <c r="G34" s="16">
        <v>0.17</v>
      </c>
      <c r="H34" s="24" t="s">
        <v>268</v>
      </c>
      <c r="I34" s="1"/>
    </row>
    <row r="35" spans="1:9">
      <c r="A35" s="1" t="s">
        <v>91</v>
      </c>
      <c r="B35" s="84">
        <v>40771</v>
      </c>
      <c r="C35" s="17">
        <v>1232</v>
      </c>
      <c r="D35" s="13" t="s">
        <v>217</v>
      </c>
      <c r="E35" s="1">
        <v>72</v>
      </c>
      <c r="F35" s="130">
        <v>30</v>
      </c>
      <c r="G35" s="16">
        <v>0.14000000000000001</v>
      </c>
      <c r="H35" s="24" t="s">
        <v>268</v>
      </c>
      <c r="I35" s="1"/>
    </row>
    <row r="36" spans="1:9">
      <c r="A36" s="1" t="s">
        <v>91</v>
      </c>
      <c r="B36" s="84">
        <v>40771</v>
      </c>
      <c r="C36" s="17">
        <v>1232</v>
      </c>
      <c r="D36" s="13" t="s">
        <v>217</v>
      </c>
      <c r="E36" s="1">
        <v>84</v>
      </c>
      <c r="F36" s="130">
        <v>20</v>
      </c>
      <c r="G36" s="16">
        <v>0.13</v>
      </c>
      <c r="H36" s="24" t="s">
        <v>268</v>
      </c>
      <c r="I36" s="1"/>
    </row>
    <row r="37" spans="1:9">
      <c r="A37" s="1" t="s">
        <v>91</v>
      </c>
      <c r="B37" s="84">
        <v>40771</v>
      </c>
      <c r="C37" s="17">
        <v>1232</v>
      </c>
      <c r="D37" s="13" t="s">
        <v>217</v>
      </c>
      <c r="E37" s="1">
        <v>96</v>
      </c>
      <c r="F37" s="130">
        <v>10</v>
      </c>
      <c r="G37" s="16">
        <v>0.1</v>
      </c>
      <c r="H37" s="24" t="s">
        <v>268</v>
      </c>
      <c r="I37" s="1"/>
    </row>
    <row r="38" spans="1:9">
      <c r="A38" s="1" t="s">
        <v>91</v>
      </c>
      <c r="B38" s="84">
        <v>40771</v>
      </c>
      <c r="C38" s="17">
        <v>1232</v>
      </c>
      <c r="D38" s="13" t="s">
        <v>217</v>
      </c>
      <c r="E38" s="1">
        <v>108</v>
      </c>
      <c r="F38" s="130">
        <v>4</v>
      </c>
      <c r="G38" s="16">
        <v>0</v>
      </c>
      <c r="H38" s="24" t="s">
        <v>268</v>
      </c>
      <c r="I38" s="1"/>
    </row>
    <row r="39" spans="1:9">
      <c r="A39" s="1" t="s">
        <v>91</v>
      </c>
      <c r="B39" s="84">
        <v>40771</v>
      </c>
      <c r="C39" s="17">
        <v>1232</v>
      </c>
      <c r="D39" s="13" t="s">
        <v>217</v>
      </c>
      <c r="E39" s="1">
        <v>112</v>
      </c>
      <c r="F39" s="130">
        <v>1</v>
      </c>
      <c r="G39" s="16">
        <v>0</v>
      </c>
      <c r="H39" s="24" t="s">
        <v>268</v>
      </c>
      <c r="I39" s="1"/>
    </row>
    <row r="40" spans="1:9">
      <c r="A40" s="1" t="s">
        <v>92</v>
      </c>
      <c r="B40" s="84">
        <v>40764</v>
      </c>
      <c r="C40" s="17">
        <v>1034</v>
      </c>
      <c r="E40" s="1">
        <v>5</v>
      </c>
      <c r="F40" s="131">
        <f>0.2*12*2.54</f>
        <v>6.096000000000001</v>
      </c>
      <c r="G40" s="87">
        <v>0</v>
      </c>
      <c r="H40" s="122" t="s">
        <v>268</v>
      </c>
      <c r="I40" s="91"/>
    </row>
    <row r="41" spans="1:9">
      <c r="A41" s="1" t="s">
        <v>92</v>
      </c>
      <c r="B41" s="84">
        <v>40764</v>
      </c>
      <c r="C41" s="17">
        <v>1034</v>
      </c>
      <c r="E41" s="1">
        <v>30</v>
      </c>
      <c r="F41" s="131">
        <f>0.2*12*2.54</f>
        <v>6.096000000000001</v>
      </c>
      <c r="G41" s="87">
        <v>0.36</v>
      </c>
      <c r="H41" s="122" t="s">
        <v>268</v>
      </c>
      <c r="I41" s="91"/>
    </row>
    <row r="42" spans="1:9">
      <c r="A42" s="1" t="s">
        <v>92</v>
      </c>
      <c r="B42" s="84">
        <v>40764</v>
      </c>
      <c r="C42" s="17">
        <v>1034</v>
      </c>
      <c r="E42" s="1">
        <v>60</v>
      </c>
      <c r="F42" s="131">
        <f>0.3*12*2.54</f>
        <v>9.1439999999999984</v>
      </c>
      <c r="G42" s="87">
        <v>0.46</v>
      </c>
      <c r="H42" s="122" t="s">
        <v>268</v>
      </c>
      <c r="I42" s="91"/>
    </row>
    <row r="43" spans="1:9">
      <c r="A43" s="1" t="s">
        <v>92</v>
      </c>
      <c r="B43" s="84">
        <v>40764</v>
      </c>
      <c r="C43" s="17">
        <v>1034</v>
      </c>
      <c r="E43" s="1">
        <v>78</v>
      </c>
      <c r="F43" s="131">
        <f>0.3*12*2.54</f>
        <v>9.1439999999999984</v>
      </c>
      <c r="G43" s="87">
        <v>0.22</v>
      </c>
      <c r="H43" s="122" t="s">
        <v>268</v>
      </c>
      <c r="I43" s="91"/>
    </row>
    <row r="44" spans="1:9">
      <c r="A44" s="1" t="s">
        <v>92</v>
      </c>
      <c r="B44" s="84">
        <v>40764</v>
      </c>
      <c r="C44" s="17">
        <v>1034</v>
      </c>
      <c r="E44" s="1">
        <v>96</v>
      </c>
      <c r="F44" s="131">
        <f>0.15*12*2.54</f>
        <v>4.5719999999999992</v>
      </c>
      <c r="G44" s="87">
        <v>0.25</v>
      </c>
      <c r="H44" s="122" t="s">
        <v>268</v>
      </c>
      <c r="I44" s="91"/>
    </row>
    <row r="45" spans="1:9">
      <c r="A45" s="1" t="s">
        <v>108</v>
      </c>
      <c r="B45" s="84">
        <v>40756</v>
      </c>
      <c r="C45" s="85">
        <v>0.45833333333333331</v>
      </c>
      <c r="D45" s="13" t="s">
        <v>203</v>
      </c>
      <c r="E45" s="1">
        <v>20</v>
      </c>
      <c r="F45" s="130">
        <v>6</v>
      </c>
      <c r="G45" s="16">
        <v>0.12</v>
      </c>
      <c r="H45" s="24" t="s">
        <v>268</v>
      </c>
      <c r="I45" s="1"/>
    </row>
    <row r="46" spans="1:9">
      <c r="A46" s="1" t="s">
        <v>108</v>
      </c>
      <c r="B46" s="84">
        <v>40756</v>
      </c>
      <c r="C46" s="85">
        <v>0.45833333333333331</v>
      </c>
      <c r="D46" s="13" t="s">
        <v>203</v>
      </c>
      <c r="E46" s="1">
        <v>40</v>
      </c>
      <c r="F46" s="130">
        <v>8</v>
      </c>
      <c r="G46" s="16">
        <v>0.16</v>
      </c>
      <c r="H46" s="24" t="s">
        <v>268</v>
      </c>
      <c r="I46" s="1"/>
    </row>
    <row r="47" spans="1:9">
      <c r="A47" s="1" t="s">
        <v>108</v>
      </c>
      <c r="B47" s="84">
        <v>40756</v>
      </c>
      <c r="C47" s="85">
        <v>0.45833333333333331</v>
      </c>
      <c r="D47" s="13" t="s">
        <v>203</v>
      </c>
      <c r="E47" s="1">
        <v>60</v>
      </c>
      <c r="F47" s="130">
        <v>10</v>
      </c>
      <c r="G47" s="16">
        <v>0.15</v>
      </c>
      <c r="H47" s="24" t="s">
        <v>268</v>
      </c>
      <c r="I47" s="1"/>
    </row>
    <row r="48" spans="1:9">
      <c r="A48" s="1" t="s">
        <v>108</v>
      </c>
      <c r="B48" s="84">
        <v>40756</v>
      </c>
      <c r="C48" s="85">
        <v>0.45833333333333331</v>
      </c>
      <c r="D48" s="13" t="s">
        <v>203</v>
      </c>
      <c r="E48" s="1">
        <v>80</v>
      </c>
      <c r="F48" s="130">
        <v>11</v>
      </c>
      <c r="G48" s="16">
        <v>0.06</v>
      </c>
      <c r="H48" s="24" t="s">
        <v>268</v>
      </c>
      <c r="I48" s="1"/>
    </row>
    <row r="49" spans="1:9">
      <c r="A49" s="1" t="s">
        <v>108</v>
      </c>
      <c r="B49" s="84">
        <v>40756</v>
      </c>
      <c r="C49" s="85">
        <v>0.45833333333333331</v>
      </c>
      <c r="D49" s="13" t="s">
        <v>203</v>
      </c>
      <c r="E49" s="1">
        <v>100</v>
      </c>
      <c r="F49" s="130">
        <v>8</v>
      </c>
      <c r="G49" s="16">
        <v>0.09</v>
      </c>
      <c r="H49" s="24" t="s">
        <v>268</v>
      </c>
      <c r="I49" s="1"/>
    </row>
    <row r="50" spans="1:9">
      <c r="A50" s="1" t="s">
        <v>88</v>
      </c>
      <c r="B50" s="84">
        <v>40752</v>
      </c>
      <c r="C50" s="85">
        <v>0.54166666666666663</v>
      </c>
      <c r="D50" s="13" t="s">
        <v>203</v>
      </c>
      <c r="E50" s="1">
        <v>40</v>
      </c>
      <c r="F50" s="130">
        <v>10</v>
      </c>
      <c r="G50" s="16">
        <v>0.87</v>
      </c>
      <c r="H50" s="24" t="s">
        <v>268</v>
      </c>
      <c r="I50" s="1"/>
    </row>
    <row r="51" spans="1:9">
      <c r="A51" s="1" t="s">
        <v>88</v>
      </c>
      <c r="B51" s="84">
        <v>40752</v>
      </c>
      <c r="C51" s="85">
        <v>0.54166666666666663</v>
      </c>
      <c r="D51" s="13" t="s">
        <v>203</v>
      </c>
      <c r="E51" s="1">
        <v>80</v>
      </c>
      <c r="F51" s="130">
        <v>12</v>
      </c>
      <c r="G51" s="16">
        <v>1.01</v>
      </c>
      <c r="H51" s="24" t="s">
        <v>268</v>
      </c>
      <c r="I51" s="1"/>
    </row>
    <row r="52" spans="1:9">
      <c r="A52" s="1" t="s">
        <v>88</v>
      </c>
      <c r="B52" s="84">
        <v>40752</v>
      </c>
      <c r="C52" s="85">
        <v>0.54166666666666663</v>
      </c>
      <c r="D52" s="13" t="s">
        <v>203</v>
      </c>
      <c r="E52" s="1">
        <v>120</v>
      </c>
      <c r="F52" s="130">
        <v>10</v>
      </c>
      <c r="G52" s="16">
        <v>0.48</v>
      </c>
      <c r="H52" s="24" t="s">
        <v>268</v>
      </c>
      <c r="I52" s="1"/>
    </row>
    <row r="53" spans="1:9">
      <c r="A53" s="1" t="s">
        <v>88</v>
      </c>
      <c r="B53" s="84">
        <v>40752</v>
      </c>
      <c r="C53" s="85">
        <v>0.54166666666666663</v>
      </c>
      <c r="D53" s="13" t="s">
        <v>203</v>
      </c>
      <c r="E53" s="1">
        <v>160</v>
      </c>
      <c r="F53" s="130">
        <v>8</v>
      </c>
      <c r="G53" s="16">
        <v>0.28000000000000003</v>
      </c>
      <c r="H53" s="24" t="s">
        <v>268</v>
      </c>
      <c r="I53" s="1"/>
    </row>
    <row r="54" spans="1:9">
      <c r="A54" s="1" t="s">
        <v>88</v>
      </c>
      <c r="B54" s="84">
        <v>40752</v>
      </c>
      <c r="C54" s="85">
        <v>0.54166666666666663</v>
      </c>
      <c r="D54" s="13" t="s">
        <v>203</v>
      </c>
      <c r="E54" s="1">
        <v>180</v>
      </c>
      <c r="F54" s="130">
        <v>8</v>
      </c>
      <c r="G54" s="16">
        <v>0.31</v>
      </c>
      <c r="H54" s="24" t="s">
        <v>268</v>
      </c>
      <c r="I54" s="1"/>
    </row>
    <row r="55" spans="1:9">
      <c r="A55" s="1" t="s">
        <v>90</v>
      </c>
      <c r="B55" s="84">
        <v>40751</v>
      </c>
      <c r="C55" s="85">
        <v>0.39583333333333331</v>
      </c>
      <c r="D55" s="13" t="s">
        <v>208</v>
      </c>
      <c r="E55" s="1">
        <v>12</v>
      </c>
      <c r="F55" s="130">
        <v>4</v>
      </c>
      <c r="G55" s="16">
        <v>0.24</v>
      </c>
      <c r="H55" s="24" t="s">
        <v>268</v>
      </c>
      <c r="I55" s="1"/>
    </row>
    <row r="56" spans="1:9">
      <c r="A56" s="1" t="s">
        <v>90</v>
      </c>
      <c r="B56" s="84">
        <v>40751</v>
      </c>
      <c r="C56" s="85">
        <v>0.39583333333333331</v>
      </c>
      <c r="D56" s="13" t="s">
        <v>208</v>
      </c>
      <c r="E56" s="1">
        <v>27</v>
      </c>
      <c r="F56" s="130">
        <v>4</v>
      </c>
      <c r="G56" s="16">
        <v>0.68</v>
      </c>
      <c r="H56" s="24" t="s">
        <v>268</v>
      </c>
      <c r="I56" s="1"/>
    </row>
    <row r="57" spans="1:9">
      <c r="A57" s="1" t="s">
        <v>90</v>
      </c>
      <c r="B57" s="84">
        <v>40751</v>
      </c>
      <c r="C57" s="85">
        <v>0.39583333333333331</v>
      </c>
      <c r="D57" s="13" t="s">
        <v>208</v>
      </c>
      <c r="E57" s="1">
        <v>51</v>
      </c>
      <c r="F57" s="130">
        <v>5</v>
      </c>
      <c r="G57" s="16">
        <v>0.48</v>
      </c>
      <c r="H57" s="24" t="s">
        <v>268</v>
      </c>
      <c r="I57" s="1"/>
    </row>
    <row r="58" spans="1:9">
      <c r="A58" s="1" t="s">
        <v>90</v>
      </c>
      <c r="B58" s="84">
        <v>40751</v>
      </c>
      <c r="C58" s="85">
        <v>0.39583333333333331</v>
      </c>
      <c r="D58" s="13" t="s">
        <v>208</v>
      </c>
      <c r="E58" s="1">
        <v>71</v>
      </c>
      <c r="F58" s="130">
        <v>2</v>
      </c>
      <c r="G58" s="16">
        <v>0.33</v>
      </c>
      <c r="H58" s="24" t="s">
        <v>268</v>
      </c>
      <c r="I58" s="1"/>
    </row>
    <row r="59" spans="1:9">
      <c r="A59" s="1" t="s">
        <v>90</v>
      </c>
      <c r="B59" s="84">
        <v>40751</v>
      </c>
      <c r="C59" s="85">
        <v>0.39583333333333331</v>
      </c>
      <c r="D59" s="13" t="s">
        <v>208</v>
      </c>
      <c r="E59" s="1">
        <v>89</v>
      </c>
      <c r="F59" s="130">
        <v>3</v>
      </c>
      <c r="G59" s="16">
        <v>0</v>
      </c>
      <c r="H59" s="24" t="s">
        <v>268</v>
      </c>
      <c r="I59" s="1"/>
    </row>
    <row r="60" spans="1:9">
      <c r="A60" s="1" t="s">
        <v>90</v>
      </c>
      <c r="B60" s="84">
        <v>40751</v>
      </c>
      <c r="C60" s="85">
        <v>0.39583333333333331</v>
      </c>
      <c r="D60" s="13" t="s">
        <v>208</v>
      </c>
      <c r="E60" s="1">
        <v>110</v>
      </c>
      <c r="F60" s="130">
        <v>0</v>
      </c>
      <c r="G60" s="16">
        <v>0</v>
      </c>
      <c r="H60" s="24" t="s">
        <v>268</v>
      </c>
      <c r="I60" s="1"/>
    </row>
    <row r="61" spans="1:9">
      <c r="A61" s="1" t="s">
        <v>71</v>
      </c>
      <c r="B61" s="84">
        <v>40730</v>
      </c>
      <c r="C61" s="85">
        <v>0.65555555555555556</v>
      </c>
      <c r="E61" s="1">
        <v>7</v>
      </c>
      <c r="F61" s="131">
        <v>0</v>
      </c>
      <c r="G61" s="87">
        <v>0</v>
      </c>
      <c r="H61" s="122" t="s">
        <v>268</v>
      </c>
      <c r="I61" s="91"/>
    </row>
    <row r="62" spans="1:9">
      <c r="A62" s="1" t="s">
        <v>71</v>
      </c>
      <c r="B62" s="84">
        <v>40730</v>
      </c>
      <c r="C62" s="85">
        <v>0.65555555555555556</v>
      </c>
      <c r="E62" s="1">
        <v>14</v>
      </c>
      <c r="F62" s="131">
        <f>0.2*12*2.54</f>
        <v>6.096000000000001</v>
      </c>
      <c r="G62" s="87">
        <v>0</v>
      </c>
      <c r="H62" s="122" t="s">
        <v>268</v>
      </c>
      <c r="I62" s="91"/>
    </row>
    <row r="63" spans="1:9">
      <c r="A63" s="1" t="s">
        <v>71</v>
      </c>
      <c r="B63" s="84">
        <v>40730</v>
      </c>
      <c r="C63" s="85">
        <v>0.65555555555555556</v>
      </c>
      <c r="E63" s="1">
        <v>21</v>
      </c>
      <c r="F63" s="131">
        <f>0.2*12*2.54</f>
        <v>6.096000000000001</v>
      </c>
      <c r="G63" s="87">
        <v>0.14000000000000001</v>
      </c>
      <c r="H63" s="122" t="s">
        <v>268</v>
      </c>
      <c r="I63" s="91"/>
    </row>
    <row r="64" spans="1:9">
      <c r="A64" s="1" t="s">
        <v>71</v>
      </c>
      <c r="B64" s="84">
        <v>40730</v>
      </c>
      <c r="C64" s="85">
        <v>0.65555555555555556</v>
      </c>
      <c r="E64" s="1">
        <v>28</v>
      </c>
      <c r="F64" s="131">
        <f>0.3*12*2.54</f>
        <v>9.1439999999999984</v>
      </c>
      <c r="G64" s="87">
        <v>0.19</v>
      </c>
      <c r="H64" s="122" t="s">
        <v>268</v>
      </c>
      <c r="I64" s="91"/>
    </row>
    <row r="65" spans="1:9">
      <c r="A65" s="1" t="s">
        <v>71</v>
      </c>
      <c r="B65" s="84">
        <v>40730</v>
      </c>
      <c r="C65" s="85">
        <v>0.65555555555555556</v>
      </c>
      <c r="E65" s="1">
        <v>35</v>
      </c>
      <c r="F65" s="131">
        <f>0.3*12*2.54</f>
        <v>9.1439999999999984</v>
      </c>
      <c r="G65" s="87">
        <v>0.3</v>
      </c>
      <c r="H65" s="122" t="s">
        <v>268</v>
      </c>
      <c r="I65" s="91"/>
    </row>
    <row r="66" spans="1:9">
      <c r="A66" s="1" t="s">
        <v>71</v>
      </c>
      <c r="B66" s="84">
        <v>40730</v>
      </c>
      <c r="C66" s="85">
        <v>0.65555555555555556</v>
      </c>
      <c r="E66" s="1">
        <v>42</v>
      </c>
      <c r="F66" s="131">
        <f>0.3*12*2.54</f>
        <v>9.1439999999999984</v>
      </c>
      <c r="G66" s="87">
        <v>0.22</v>
      </c>
      <c r="H66" s="122" t="s">
        <v>268</v>
      </c>
      <c r="I66" s="91"/>
    </row>
    <row r="67" spans="1:9">
      <c r="A67" s="1" t="s">
        <v>71</v>
      </c>
      <c r="B67" s="84">
        <v>40730</v>
      </c>
      <c r="C67" s="85">
        <v>0.65555555555555556</v>
      </c>
      <c r="E67" s="1">
        <v>49</v>
      </c>
      <c r="F67" s="131">
        <f>0.3*12*2.54</f>
        <v>9.1439999999999984</v>
      </c>
      <c r="G67" s="87">
        <v>0.52</v>
      </c>
      <c r="H67" s="122" t="s">
        <v>268</v>
      </c>
      <c r="I67" s="91"/>
    </row>
    <row r="68" spans="1:9">
      <c r="A68" s="1" t="s">
        <v>71</v>
      </c>
      <c r="B68" s="84">
        <v>40730</v>
      </c>
      <c r="C68" s="85">
        <v>0.65555555555555556</v>
      </c>
      <c r="E68" s="1">
        <v>56</v>
      </c>
      <c r="F68" s="131">
        <f>0.3*12*2.54</f>
        <v>9.1439999999999984</v>
      </c>
      <c r="G68" s="87">
        <v>0.44</v>
      </c>
      <c r="H68" s="122" t="s">
        <v>268</v>
      </c>
      <c r="I68" s="91"/>
    </row>
    <row r="69" spans="1:9">
      <c r="A69" s="1" t="s">
        <v>71</v>
      </c>
      <c r="B69" s="84">
        <v>40730</v>
      </c>
      <c r="C69" s="85">
        <v>0.65555555555555556</v>
      </c>
      <c r="E69" s="1">
        <v>63</v>
      </c>
      <c r="F69" s="131">
        <f>0.4*12*2.54</f>
        <v>12.192000000000002</v>
      </c>
      <c r="G69" s="87">
        <v>0.28999999999999998</v>
      </c>
      <c r="H69" s="122" t="s">
        <v>268</v>
      </c>
      <c r="I69" s="91"/>
    </row>
    <row r="70" spans="1:9">
      <c r="A70" s="1" t="s">
        <v>71</v>
      </c>
      <c r="B70" s="84">
        <v>40730</v>
      </c>
      <c r="C70" s="85">
        <v>0.65555555555555556</v>
      </c>
      <c r="E70" s="1">
        <v>70</v>
      </c>
      <c r="F70" s="131">
        <f>0.3*12*2.54</f>
        <v>9.1439999999999984</v>
      </c>
      <c r="G70" s="16">
        <v>0.2</v>
      </c>
      <c r="H70" s="24" t="s">
        <v>268</v>
      </c>
      <c r="I70" s="91" t="s">
        <v>258</v>
      </c>
    </row>
    <row r="71" spans="1:9">
      <c r="A71" s="1" t="s">
        <v>72</v>
      </c>
      <c r="B71" s="84">
        <v>40731</v>
      </c>
      <c r="C71" s="85">
        <v>0.66666666666666663</v>
      </c>
      <c r="D71" s="13" t="s">
        <v>220</v>
      </c>
      <c r="E71" s="1">
        <v>10</v>
      </c>
      <c r="F71" s="131">
        <f>1.5*12*2.54</f>
        <v>45.72</v>
      </c>
      <c r="G71" s="87">
        <v>0.41</v>
      </c>
      <c r="H71" s="122" t="s">
        <v>268</v>
      </c>
      <c r="I71" s="91"/>
    </row>
    <row r="72" spans="1:9">
      <c r="A72" s="1" t="s">
        <v>72</v>
      </c>
      <c r="B72" s="84">
        <v>40731</v>
      </c>
      <c r="C72" s="85">
        <v>0.66666666666666663</v>
      </c>
      <c r="D72" s="13" t="s">
        <v>220</v>
      </c>
      <c r="E72" s="1">
        <v>20</v>
      </c>
      <c r="F72" s="131">
        <f>4*2.54</f>
        <v>10.16</v>
      </c>
      <c r="G72" s="87">
        <v>0.56000000000000005</v>
      </c>
      <c r="H72" s="122" t="s">
        <v>268</v>
      </c>
      <c r="I72" s="91"/>
    </row>
    <row r="73" spans="1:9">
      <c r="A73" s="1" t="s">
        <v>72</v>
      </c>
      <c r="B73" s="84">
        <v>40731</v>
      </c>
      <c r="C73" s="85">
        <v>0.66666666666666663</v>
      </c>
      <c r="D73" s="13" t="s">
        <v>220</v>
      </c>
      <c r="E73" s="1">
        <v>60</v>
      </c>
      <c r="F73" s="131">
        <f>3*2.54</f>
        <v>7.62</v>
      </c>
      <c r="G73" s="87">
        <v>0.11</v>
      </c>
      <c r="H73" s="122" t="s">
        <v>268</v>
      </c>
      <c r="I73" s="91"/>
    </row>
    <row r="74" spans="1:9">
      <c r="A74" s="1" t="s">
        <v>72</v>
      </c>
      <c r="B74" s="84">
        <v>40731</v>
      </c>
      <c r="C74" s="85">
        <v>0.66666666666666663</v>
      </c>
      <c r="D74" s="13" t="s">
        <v>220</v>
      </c>
      <c r="E74" s="1">
        <v>75</v>
      </c>
      <c r="F74" s="131">
        <f>2*2.54</f>
        <v>5.08</v>
      </c>
      <c r="G74" s="87">
        <v>0.31</v>
      </c>
      <c r="H74" s="122" t="s">
        <v>268</v>
      </c>
      <c r="I74" s="91"/>
    </row>
    <row r="75" spans="1:9">
      <c r="A75" s="1" t="s">
        <v>73</v>
      </c>
      <c r="B75" s="84">
        <v>40735</v>
      </c>
      <c r="C75" s="85">
        <v>0.52777777777777779</v>
      </c>
      <c r="D75" s="13" t="s">
        <v>198</v>
      </c>
      <c r="E75" s="1">
        <v>0</v>
      </c>
      <c r="F75" s="131">
        <f>0*12*2.54</f>
        <v>0</v>
      </c>
      <c r="G75" s="87">
        <v>0</v>
      </c>
      <c r="H75" s="122" t="s">
        <v>268</v>
      </c>
      <c r="I75" s="91"/>
    </row>
    <row r="76" spans="1:9">
      <c r="A76" s="1" t="s">
        <v>73</v>
      </c>
      <c r="B76" s="84">
        <v>40735</v>
      </c>
      <c r="C76" s="85">
        <v>0.52777777777777779</v>
      </c>
      <c r="D76" s="13" t="s">
        <v>198</v>
      </c>
      <c r="E76" s="1">
        <v>20</v>
      </c>
      <c r="F76" s="131">
        <f t="shared" ref="F76:F82" si="0">0.2*12*2.54</f>
        <v>6.096000000000001</v>
      </c>
      <c r="G76" s="87">
        <v>0.23</v>
      </c>
      <c r="H76" s="122" t="s">
        <v>268</v>
      </c>
      <c r="I76" s="91"/>
    </row>
    <row r="77" spans="1:9">
      <c r="A77" s="1" t="s">
        <v>73</v>
      </c>
      <c r="B77" s="84">
        <v>40735</v>
      </c>
      <c r="C77" s="85">
        <v>0.52777777777777779</v>
      </c>
      <c r="D77" s="13" t="s">
        <v>198</v>
      </c>
      <c r="E77" s="1">
        <v>35</v>
      </c>
      <c r="F77" s="131">
        <f t="shared" si="0"/>
        <v>6.096000000000001</v>
      </c>
      <c r="G77" s="87">
        <v>0.25</v>
      </c>
      <c r="H77" s="122" t="s">
        <v>268</v>
      </c>
      <c r="I77" s="91"/>
    </row>
    <row r="78" spans="1:9">
      <c r="A78" s="1" t="s">
        <v>73</v>
      </c>
      <c r="B78" s="84">
        <v>40735</v>
      </c>
      <c r="C78" s="85">
        <v>0.52777777777777779</v>
      </c>
      <c r="D78" s="13" t="s">
        <v>198</v>
      </c>
      <c r="E78" s="1">
        <v>50</v>
      </c>
      <c r="F78" s="131">
        <f t="shared" si="0"/>
        <v>6.096000000000001</v>
      </c>
      <c r="G78" s="87">
        <v>0.28000000000000003</v>
      </c>
      <c r="H78" s="122" t="s">
        <v>268</v>
      </c>
      <c r="I78" s="91"/>
    </row>
    <row r="79" spans="1:9">
      <c r="A79" s="1" t="s">
        <v>73</v>
      </c>
      <c r="B79" s="84">
        <v>40735</v>
      </c>
      <c r="C79" s="85">
        <v>0.52777777777777779</v>
      </c>
      <c r="D79" s="13" t="s">
        <v>198</v>
      </c>
      <c r="E79" s="1">
        <v>62</v>
      </c>
      <c r="F79" s="131">
        <f t="shared" si="0"/>
        <v>6.096000000000001</v>
      </c>
      <c r="G79" s="87">
        <v>0.3</v>
      </c>
      <c r="H79" s="122" t="s">
        <v>268</v>
      </c>
      <c r="I79" s="91"/>
    </row>
    <row r="80" spans="1:9">
      <c r="A80" s="1" t="s">
        <v>73</v>
      </c>
      <c r="B80" s="84">
        <v>40735</v>
      </c>
      <c r="C80" s="85">
        <v>0.52777777777777779</v>
      </c>
      <c r="D80" s="13" t="s">
        <v>198</v>
      </c>
      <c r="E80" s="1">
        <v>72</v>
      </c>
      <c r="F80" s="131">
        <f t="shared" si="0"/>
        <v>6.096000000000001</v>
      </c>
      <c r="G80" s="87">
        <v>0.32</v>
      </c>
      <c r="H80" s="122" t="s">
        <v>268</v>
      </c>
      <c r="I80" s="91"/>
    </row>
    <row r="81" spans="1:9">
      <c r="A81" s="1" t="s">
        <v>73</v>
      </c>
      <c r="B81" s="84">
        <v>40735</v>
      </c>
      <c r="C81" s="85">
        <v>0.52777777777777779</v>
      </c>
      <c r="D81" s="13" t="s">
        <v>198</v>
      </c>
      <c r="E81" s="1">
        <v>87</v>
      </c>
      <c r="F81" s="131">
        <f t="shared" si="0"/>
        <v>6.096000000000001</v>
      </c>
      <c r="G81" s="87">
        <v>0.28000000000000003</v>
      </c>
      <c r="H81" s="122" t="s">
        <v>268</v>
      </c>
      <c r="I81" s="91"/>
    </row>
    <row r="82" spans="1:9">
      <c r="A82" s="1" t="s">
        <v>73</v>
      </c>
      <c r="B82" s="84">
        <v>40735</v>
      </c>
      <c r="C82" s="85">
        <v>0.52777777777777779</v>
      </c>
      <c r="D82" s="13" t="s">
        <v>198</v>
      </c>
      <c r="E82" s="1">
        <v>100</v>
      </c>
      <c r="F82" s="131">
        <f t="shared" si="0"/>
        <v>6.096000000000001</v>
      </c>
      <c r="G82" s="87">
        <v>0.08</v>
      </c>
      <c r="H82" s="122" t="s">
        <v>268</v>
      </c>
      <c r="I82" s="91"/>
    </row>
    <row r="83" spans="1:9">
      <c r="A83" s="1" t="s">
        <v>74</v>
      </c>
      <c r="B83" s="84">
        <v>40735</v>
      </c>
      <c r="C83" s="85">
        <v>0.58333333333333337</v>
      </c>
      <c r="H83" s="24" t="s">
        <v>268</v>
      </c>
      <c r="I83" s="1" t="s">
        <v>271</v>
      </c>
    </row>
    <row r="84" spans="1:9" s="64" customFormat="1">
      <c r="A84" s="91" t="s">
        <v>69</v>
      </c>
      <c r="B84" s="173">
        <v>40723</v>
      </c>
      <c r="C84" s="174">
        <v>0.47916666666666669</v>
      </c>
      <c r="D84" s="102"/>
      <c r="E84" s="91">
        <v>0</v>
      </c>
      <c r="F84" s="131">
        <f>0.1*12*2.54</f>
        <v>3.0480000000000005</v>
      </c>
      <c r="G84" s="87">
        <v>0.01</v>
      </c>
      <c r="H84" s="122" t="s">
        <v>268</v>
      </c>
      <c r="I84" s="91"/>
    </row>
    <row r="85" spans="1:9" s="64" customFormat="1">
      <c r="A85" s="91" t="s">
        <v>69</v>
      </c>
      <c r="B85" s="173">
        <v>40723</v>
      </c>
      <c r="C85" s="174">
        <v>0.47916666666666669</v>
      </c>
      <c r="D85" s="102"/>
      <c r="E85" s="91">
        <v>40</v>
      </c>
      <c r="F85" s="131">
        <f>0.1*12*2.54</f>
        <v>3.0480000000000005</v>
      </c>
      <c r="G85" s="87">
        <v>0.06</v>
      </c>
      <c r="H85" s="122" t="s">
        <v>268</v>
      </c>
      <c r="I85" s="91"/>
    </row>
    <row r="86" spans="1:9" s="64" customFormat="1">
      <c r="A86" s="91" t="s">
        <v>69</v>
      </c>
      <c r="B86" s="173">
        <v>40723</v>
      </c>
      <c r="C86" s="174">
        <v>0.47916666666666669</v>
      </c>
      <c r="D86" s="102"/>
      <c r="E86" s="91">
        <v>80</v>
      </c>
      <c r="F86" s="131">
        <f>0.1*12*2.54</f>
        <v>3.0480000000000005</v>
      </c>
      <c r="G86" s="87">
        <v>0.15</v>
      </c>
      <c r="H86" s="122" t="s">
        <v>268</v>
      </c>
      <c r="I86" s="91"/>
    </row>
    <row r="87" spans="1:9" s="64" customFormat="1">
      <c r="A87" s="91" t="s">
        <v>69</v>
      </c>
      <c r="B87" s="173">
        <v>40723</v>
      </c>
      <c r="C87" s="174">
        <v>0.47916666666666669</v>
      </c>
      <c r="D87" s="102"/>
      <c r="E87" s="91">
        <v>120</v>
      </c>
      <c r="F87" s="131">
        <f>0.05*12*2.54</f>
        <v>1.5240000000000002</v>
      </c>
      <c r="G87" s="87">
        <v>0.16</v>
      </c>
      <c r="H87" s="122" t="s">
        <v>268</v>
      </c>
      <c r="I87" s="91"/>
    </row>
    <row r="88" spans="1:9" s="64" customFormat="1">
      <c r="A88" s="91" t="s">
        <v>69</v>
      </c>
      <c r="B88" s="173">
        <v>40723</v>
      </c>
      <c r="C88" s="174">
        <v>0.47916666666666669</v>
      </c>
      <c r="D88" s="102"/>
      <c r="E88" s="91">
        <v>160</v>
      </c>
      <c r="F88" s="131">
        <f>0.2*12*2.54</f>
        <v>6.096000000000001</v>
      </c>
      <c r="G88" s="87">
        <v>0.23</v>
      </c>
      <c r="H88" s="122" t="s">
        <v>268</v>
      </c>
      <c r="I88" s="91"/>
    </row>
    <row r="89" spans="1:9" s="64" customFormat="1">
      <c r="A89" s="91" t="s">
        <v>69</v>
      </c>
      <c r="B89" s="173">
        <v>40723</v>
      </c>
      <c r="C89" s="174">
        <v>0.47916666666666669</v>
      </c>
      <c r="D89" s="102"/>
      <c r="E89" s="91">
        <v>200</v>
      </c>
      <c r="F89" s="131">
        <f>0.5*12*2.54</f>
        <v>15.24</v>
      </c>
      <c r="G89" s="87">
        <v>0.32</v>
      </c>
      <c r="H89" s="122" t="s">
        <v>268</v>
      </c>
      <c r="I89" s="91"/>
    </row>
    <row r="90" spans="1:9" s="64" customFormat="1">
      <c r="A90" s="91" t="s">
        <v>69</v>
      </c>
      <c r="B90" s="173">
        <v>40723</v>
      </c>
      <c r="C90" s="174">
        <v>0.47916666666666669</v>
      </c>
      <c r="D90" s="102"/>
      <c r="E90" s="91"/>
      <c r="F90" s="131">
        <v>0.1</v>
      </c>
      <c r="G90" s="87">
        <v>0.02</v>
      </c>
      <c r="H90" s="122" t="s">
        <v>268</v>
      </c>
      <c r="I90" s="91"/>
    </row>
    <row r="91" spans="1:9">
      <c r="A91" s="1" t="s">
        <v>68</v>
      </c>
      <c r="B91" s="84">
        <v>40722</v>
      </c>
      <c r="C91" s="85">
        <v>0.4375</v>
      </c>
      <c r="H91" s="24" t="s">
        <v>268</v>
      </c>
      <c r="I91" s="1" t="s">
        <v>271</v>
      </c>
    </row>
    <row r="92" spans="1:9">
      <c r="A92" s="1" t="s">
        <v>70</v>
      </c>
      <c r="B92" s="84">
        <v>40729</v>
      </c>
      <c r="C92" s="85">
        <v>0.64652777777777781</v>
      </c>
      <c r="E92" s="1">
        <v>0</v>
      </c>
      <c r="F92" s="131">
        <v>0</v>
      </c>
      <c r="G92" s="16">
        <v>0</v>
      </c>
      <c r="H92" s="24" t="s">
        <v>268</v>
      </c>
      <c r="I92" s="91"/>
    </row>
    <row r="93" spans="1:9">
      <c r="A93" s="1" t="s">
        <v>70</v>
      </c>
      <c r="B93" s="84">
        <v>40729</v>
      </c>
      <c r="C93" s="85">
        <v>0.64652777777777781</v>
      </c>
      <c r="E93" s="1">
        <v>20</v>
      </c>
      <c r="F93" s="131">
        <f>0.2*12*2.54</f>
        <v>6.096000000000001</v>
      </c>
      <c r="G93" s="16">
        <v>0</v>
      </c>
      <c r="H93" s="24" t="s">
        <v>268</v>
      </c>
      <c r="I93" s="91"/>
    </row>
    <row r="94" spans="1:9">
      <c r="A94" s="1" t="s">
        <v>70</v>
      </c>
      <c r="B94" s="84">
        <v>40729</v>
      </c>
      <c r="C94" s="85">
        <v>0.64652777777777781</v>
      </c>
      <c r="E94" s="1">
        <v>40</v>
      </c>
      <c r="F94" s="131">
        <f>0.3*12*2.54</f>
        <v>9.1439999999999984</v>
      </c>
      <c r="G94" s="16">
        <v>0</v>
      </c>
      <c r="H94" s="24" t="s">
        <v>268</v>
      </c>
      <c r="I94" s="91"/>
    </row>
    <row r="95" spans="1:9">
      <c r="A95" s="1" t="s">
        <v>70</v>
      </c>
      <c r="B95" s="84">
        <v>40729</v>
      </c>
      <c r="C95" s="85">
        <v>0.64652777777777781</v>
      </c>
      <c r="E95" s="1">
        <v>60</v>
      </c>
      <c r="F95" s="131">
        <f>0.6*12*2.54</f>
        <v>18.287999999999997</v>
      </c>
      <c r="G95" s="16">
        <v>0.03</v>
      </c>
      <c r="H95" s="24" t="s">
        <v>268</v>
      </c>
      <c r="I95" s="91"/>
    </row>
    <row r="96" spans="1:9">
      <c r="A96" s="1" t="s">
        <v>70</v>
      </c>
      <c r="B96" s="84">
        <v>40729</v>
      </c>
      <c r="C96" s="85">
        <v>0.64652777777777781</v>
      </c>
      <c r="E96" s="1">
        <v>80</v>
      </c>
      <c r="F96" s="131">
        <f>0.7*12*2.54</f>
        <v>21.335999999999995</v>
      </c>
      <c r="G96" s="16">
        <v>7.0000000000000007E-2</v>
      </c>
      <c r="H96" s="24" t="s">
        <v>268</v>
      </c>
      <c r="I96" s="91"/>
    </row>
    <row r="97" spans="1:9">
      <c r="A97" s="1" t="s">
        <v>70</v>
      </c>
      <c r="B97" s="84">
        <v>40729</v>
      </c>
      <c r="C97" s="85">
        <v>0.64652777777777781</v>
      </c>
      <c r="E97" s="1">
        <v>100</v>
      </c>
      <c r="F97" s="131">
        <f>0.8*12*2.54</f>
        <v>24.384000000000004</v>
      </c>
      <c r="G97" s="16">
        <v>0.05</v>
      </c>
      <c r="H97" s="24" t="s">
        <v>268</v>
      </c>
      <c r="I97" s="91"/>
    </row>
    <row r="98" spans="1:9">
      <c r="A98" s="1" t="s">
        <v>70</v>
      </c>
      <c r="B98" s="84">
        <v>40729</v>
      </c>
      <c r="C98" s="85">
        <v>0.64652777777777781</v>
      </c>
      <c r="E98" s="1">
        <v>120</v>
      </c>
      <c r="F98" s="131">
        <f>0.9*12*2.54</f>
        <v>27.432000000000002</v>
      </c>
      <c r="G98" s="16">
        <v>0.05</v>
      </c>
      <c r="H98" s="24" t="s">
        <v>268</v>
      </c>
      <c r="I98" s="91"/>
    </row>
    <row r="99" spans="1:9">
      <c r="A99" s="1" t="s">
        <v>70</v>
      </c>
      <c r="B99" s="84">
        <v>40729</v>
      </c>
      <c r="C99" s="85">
        <v>0.64652777777777781</v>
      </c>
      <c r="E99" s="1">
        <v>140</v>
      </c>
      <c r="F99" s="131">
        <f>1.1*12*2.54</f>
        <v>33.528000000000006</v>
      </c>
      <c r="G99" s="16">
        <v>0.05</v>
      </c>
      <c r="H99" s="24" t="s">
        <v>268</v>
      </c>
      <c r="I99" s="91"/>
    </row>
    <row r="100" spans="1:9">
      <c r="A100" s="1" t="s">
        <v>70</v>
      </c>
      <c r="B100" s="84">
        <v>40729</v>
      </c>
      <c r="C100" s="85">
        <v>0.64652777777777781</v>
      </c>
      <c r="E100" s="1">
        <v>160</v>
      </c>
      <c r="F100" s="131">
        <f>1.2*12*2.54</f>
        <v>36.575999999999993</v>
      </c>
      <c r="G100" s="16">
        <v>0.1</v>
      </c>
      <c r="H100" s="24" t="s">
        <v>268</v>
      </c>
      <c r="I100" s="91"/>
    </row>
    <row r="101" spans="1:9">
      <c r="A101" s="1" t="s">
        <v>70</v>
      </c>
      <c r="B101" s="84">
        <v>40729</v>
      </c>
      <c r="C101" s="85">
        <v>0.64652777777777781</v>
      </c>
      <c r="E101" s="1">
        <v>180</v>
      </c>
      <c r="F101" s="131">
        <f>1.2*12*2.54</f>
        <v>36.575999999999993</v>
      </c>
      <c r="G101" s="16">
        <v>0.11</v>
      </c>
      <c r="H101" s="24" t="s">
        <v>268</v>
      </c>
      <c r="I101" s="91"/>
    </row>
    <row r="102" spans="1:9">
      <c r="A102" s="1" t="s">
        <v>70</v>
      </c>
      <c r="B102" s="84">
        <v>40729</v>
      </c>
      <c r="C102" s="85">
        <v>0.64652777777777781</v>
      </c>
      <c r="E102" s="1">
        <v>200</v>
      </c>
      <c r="F102" s="131">
        <f>1*12*2.54</f>
        <v>30.48</v>
      </c>
      <c r="G102" s="16">
        <v>0.11</v>
      </c>
      <c r="H102" s="24" t="s">
        <v>268</v>
      </c>
      <c r="I102" s="91"/>
    </row>
    <row r="103" spans="1:9">
      <c r="A103" s="1" t="s">
        <v>70</v>
      </c>
      <c r="B103" s="84">
        <v>40729</v>
      </c>
      <c r="C103" s="85">
        <v>0.64652777777777781</v>
      </c>
      <c r="E103" s="1">
        <v>220</v>
      </c>
      <c r="F103" s="131">
        <f>0.6*12*2.54</f>
        <v>18.287999999999997</v>
      </c>
      <c r="G103" s="16">
        <v>7.0000000000000007E-2</v>
      </c>
      <c r="H103" s="24" t="s">
        <v>268</v>
      </c>
      <c r="I103" s="91"/>
    </row>
    <row r="104" spans="1:9">
      <c r="A104" s="1" t="s">
        <v>70</v>
      </c>
      <c r="B104" s="84">
        <v>40729</v>
      </c>
      <c r="C104" s="85">
        <v>0.64652777777777781</v>
      </c>
      <c r="E104" s="1">
        <v>240</v>
      </c>
      <c r="F104" s="131">
        <f>0.5*12*2.54</f>
        <v>15.24</v>
      </c>
      <c r="G104" s="16">
        <v>0.08</v>
      </c>
      <c r="H104" s="24" t="s">
        <v>268</v>
      </c>
      <c r="I104" s="91"/>
    </row>
    <row r="105" spans="1:9">
      <c r="A105" s="1" t="s">
        <v>70</v>
      </c>
      <c r="B105" s="84">
        <v>40729</v>
      </c>
      <c r="C105" s="85">
        <v>0.64652777777777781</v>
      </c>
      <c r="E105" s="1">
        <v>260</v>
      </c>
      <c r="F105" s="131">
        <f>0.2*12*2.54</f>
        <v>6.096000000000001</v>
      </c>
      <c r="G105" s="16">
        <v>0.01</v>
      </c>
      <c r="H105" s="24" t="s">
        <v>268</v>
      </c>
      <c r="I105" s="91"/>
    </row>
    <row r="106" spans="1:9">
      <c r="A106" s="1" t="s">
        <v>70</v>
      </c>
      <c r="B106" s="84">
        <v>40729</v>
      </c>
      <c r="C106" s="85">
        <v>0.64652777777777781</v>
      </c>
      <c r="E106" s="1">
        <v>280</v>
      </c>
      <c r="F106" s="131">
        <v>0</v>
      </c>
      <c r="G106" s="16">
        <v>0</v>
      </c>
      <c r="H106" s="24" t="s">
        <v>268</v>
      </c>
      <c r="I106" s="91"/>
    </row>
    <row r="107" spans="1:9">
      <c r="A107" s="1" t="s">
        <v>70</v>
      </c>
      <c r="B107" s="84">
        <v>40729</v>
      </c>
      <c r="C107" s="85">
        <v>0.64652777777777781</v>
      </c>
      <c r="E107" s="1">
        <v>284</v>
      </c>
      <c r="F107" s="131"/>
      <c r="G107" s="16" t="s">
        <v>278</v>
      </c>
      <c r="H107" s="24" t="s">
        <v>268</v>
      </c>
      <c r="I107" s="91"/>
    </row>
    <row r="108" spans="1:9">
      <c r="A108" s="1" t="s">
        <v>76</v>
      </c>
      <c r="B108" s="84">
        <v>40736</v>
      </c>
      <c r="E108" s="1">
        <v>10</v>
      </c>
      <c r="F108" s="130">
        <v>4</v>
      </c>
      <c r="G108" s="16">
        <v>0.3</v>
      </c>
      <c r="H108" s="24" t="s">
        <v>268</v>
      </c>
      <c r="I108" s="1"/>
    </row>
    <row r="109" spans="1:9">
      <c r="A109" s="1" t="s">
        <v>76</v>
      </c>
      <c r="B109" s="84">
        <v>40736</v>
      </c>
      <c r="E109" s="1">
        <v>30</v>
      </c>
      <c r="F109" s="130">
        <v>4</v>
      </c>
      <c r="G109" s="16">
        <v>0.37</v>
      </c>
      <c r="H109" s="24" t="s">
        <v>268</v>
      </c>
      <c r="I109" s="1"/>
    </row>
    <row r="110" spans="1:9">
      <c r="A110" s="1" t="s">
        <v>76</v>
      </c>
      <c r="B110" s="84">
        <v>40736</v>
      </c>
      <c r="E110" s="1">
        <v>50</v>
      </c>
      <c r="F110" s="130">
        <v>7</v>
      </c>
      <c r="G110" s="16">
        <v>0.5</v>
      </c>
      <c r="H110" s="24" t="s">
        <v>268</v>
      </c>
      <c r="I110" s="1"/>
    </row>
    <row r="111" spans="1:9">
      <c r="A111" s="1" t="s">
        <v>76</v>
      </c>
      <c r="B111" s="84">
        <v>40736</v>
      </c>
      <c r="E111" s="1">
        <v>70</v>
      </c>
      <c r="F111" s="130">
        <v>6</v>
      </c>
      <c r="G111" s="16">
        <v>0.45</v>
      </c>
      <c r="H111" s="24" t="s">
        <v>268</v>
      </c>
      <c r="I111" s="1"/>
    </row>
    <row r="112" spans="1:9">
      <c r="A112" s="1" t="s">
        <v>76</v>
      </c>
      <c r="B112" s="84">
        <v>40736</v>
      </c>
      <c r="E112" s="1">
        <v>90</v>
      </c>
      <c r="F112" s="130">
        <v>4</v>
      </c>
      <c r="G112" s="16">
        <v>0.27</v>
      </c>
      <c r="H112" s="24" t="s">
        <v>268</v>
      </c>
    </row>
    <row r="113" spans="1:9">
      <c r="A113" s="1" t="s">
        <v>95</v>
      </c>
      <c r="B113" s="84">
        <v>40736</v>
      </c>
      <c r="C113" s="85">
        <v>0.44791666666666669</v>
      </c>
      <c r="D113" s="13" t="s">
        <v>220</v>
      </c>
      <c r="E113" s="1">
        <v>0</v>
      </c>
      <c r="F113" s="130">
        <v>2</v>
      </c>
      <c r="G113" s="16">
        <v>0</v>
      </c>
      <c r="H113" s="24" t="s">
        <v>268</v>
      </c>
      <c r="I113" s="1"/>
    </row>
    <row r="114" spans="1:9">
      <c r="A114" s="1" t="s">
        <v>95</v>
      </c>
      <c r="B114" s="84">
        <v>40736</v>
      </c>
      <c r="C114" s="85">
        <v>0.44791666666666669</v>
      </c>
      <c r="D114" s="13" t="s">
        <v>220</v>
      </c>
      <c r="E114" s="1">
        <v>30</v>
      </c>
      <c r="F114" s="130">
        <v>6.5</v>
      </c>
      <c r="G114" s="16">
        <v>0.01</v>
      </c>
      <c r="H114" s="24" t="s">
        <v>268</v>
      </c>
      <c r="I114" s="1"/>
    </row>
    <row r="115" spans="1:9">
      <c r="A115" s="1" t="s">
        <v>95</v>
      </c>
      <c r="B115" s="84">
        <v>40736</v>
      </c>
      <c r="C115" s="85">
        <v>0.44791666666666669</v>
      </c>
      <c r="D115" s="13" t="s">
        <v>220</v>
      </c>
      <c r="E115" s="1">
        <v>60</v>
      </c>
      <c r="F115" s="130">
        <v>7.5</v>
      </c>
      <c r="G115" s="16">
        <v>0.02</v>
      </c>
      <c r="H115" s="24" t="s">
        <v>268</v>
      </c>
      <c r="I115" s="1"/>
    </row>
    <row r="116" spans="1:9">
      <c r="A116" s="1" t="s">
        <v>95</v>
      </c>
      <c r="B116" s="84">
        <v>40736</v>
      </c>
      <c r="C116" s="85">
        <v>0.44791666666666669</v>
      </c>
      <c r="D116" s="13" t="s">
        <v>220</v>
      </c>
      <c r="E116" s="1">
        <v>90</v>
      </c>
      <c r="F116" s="130">
        <v>11</v>
      </c>
      <c r="G116" s="16">
        <v>0.04</v>
      </c>
      <c r="H116" s="24" t="s">
        <v>268</v>
      </c>
      <c r="I116" s="1"/>
    </row>
    <row r="117" spans="1:9">
      <c r="A117" s="1" t="s">
        <v>95</v>
      </c>
      <c r="B117" s="84">
        <v>40736</v>
      </c>
      <c r="C117" s="85">
        <v>0.44791666666666669</v>
      </c>
      <c r="D117" s="13" t="s">
        <v>220</v>
      </c>
      <c r="E117" s="1">
        <v>120</v>
      </c>
      <c r="F117" s="130">
        <v>15</v>
      </c>
      <c r="G117" s="16">
        <v>0.08</v>
      </c>
      <c r="H117" s="24" t="s">
        <v>268</v>
      </c>
      <c r="I117" s="1"/>
    </row>
    <row r="118" spans="1:9">
      <c r="A118" s="1" t="s">
        <v>95</v>
      </c>
      <c r="B118" s="84">
        <v>40736</v>
      </c>
      <c r="C118" s="85">
        <v>0.44791666666666669</v>
      </c>
      <c r="D118" s="13" t="s">
        <v>220</v>
      </c>
      <c r="E118" s="1">
        <v>150</v>
      </c>
      <c r="F118" s="130">
        <v>20</v>
      </c>
      <c r="G118" s="16">
        <v>7.0000000000000007E-2</v>
      </c>
      <c r="H118" s="24" t="s">
        <v>268</v>
      </c>
      <c r="I118" s="1"/>
    </row>
    <row r="119" spans="1:9">
      <c r="A119" s="1" t="s">
        <v>95</v>
      </c>
      <c r="B119" s="84">
        <v>40736</v>
      </c>
      <c r="C119" s="85">
        <v>0.44791666666666669</v>
      </c>
      <c r="D119" s="13" t="s">
        <v>220</v>
      </c>
      <c r="E119" s="1">
        <v>180</v>
      </c>
      <c r="F119" s="130">
        <v>17</v>
      </c>
      <c r="G119" s="16">
        <v>0.06</v>
      </c>
      <c r="H119" s="24" t="s">
        <v>268</v>
      </c>
      <c r="I119" s="1"/>
    </row>
    <row r="120" spans="1:9">
      <c r="A120" s="1" t="s">
        <v>95</v>
      </c>
      <c r="B120" s="84">
        <v>40736</v>
      </c>
      <c r="C120" s="85">
        <v>0.44791666666666669</v>
      </c>
      <c r="D120" s="13" t="s">
        <v>220</v>
      </c>
      <c r="E120" s="1">
        <v>21</v>
      </c>
      <c r="F120" s="130">
        <v>18</v>
      </c>
      <c r="G120" s="16">
        <v>0.06</v>
      </c>
      <c r="H120" s="24" t="s">
        <v>268</v>
      </c>
      <c r="I120" s="1"/>
    </row>
    <row r="121" spans="1:9">
      <c r="A121" s="1" t="s">
        <v>95</v>
      </c>
      <c r="B121" s="84">
        <v>40736</v>
      </c>
      <c r="C121" s="85">
        <v>0.44791666666666669</v>
      </c>
      <c r="D121" s="13" t="s">
        <v>220</v>
      </c>
      <c r="E121" s="1">
        <v>24</v>
      </c>
      <c r="F121" s="130">
        <v>15</v>
      </c>
      <c r="G121" s="16">
        <v>0.06</v>
      </c>
      <c r="H121" s="24" t="s">
        <v>268</v>
      </c>
      <c r="I121" s="1"/>
    </row>
    <row r="122" spans="1:9">
      <c r="A122" s="1" t="s">
        <v>95</v>
      </c>
      <c r="B122" s="84">
        <v>40736</v>
      </c>
      <c r="C122" s="85">
        <v>0.44791666666666669</v>
      </c>
      <c r="D122" s="13" t="s">
        <v>220</v>
      </c>
      <c r="E122" s="1">
        <v>270</v>
      </c>
      <c r="F122" s="130">
        <v>8</v>
      </c>
      <c r="G122" s="16">
        <v>0</v>
      </c>
      <c r="H122" s="24" t="s">
        <v>268</v>
      </c>
      <c r="I122" s="1"/>
    </row>
    <row r="123" spans="1:9">
      <c r="A123" s="1" t="s">
        <v>95</v>
      </c>
      <c r="B123" s="84">
        <v>40736</v>
      </c>
      <c r="C123" s="85">
        <v>0.44791666666666669</v>
      </c>
      <c r="D123" s="13" t="s">
        <v>220</v>
      </c>
      <c r="E123" s="1">
        <v>280</v>
      </c>
      <c r="F123" s="130">
        <v>1</v>
      </c>
      <c r="G123" s="16">
        <v>0</v>
      </c>
      <c r="H123" s="24" t="s">
        <v>268</v>
      </c>
      <c r="I123" s="1"/>
    </row>
    <row r="124" spans="1:9">
      <c r="A124" s="1" t="s">
        <v>85</v>
      </c>
      <c r="B124" s="84">
        <v>40750</v>
      </c>
      <c r="C124" s="85">
        <v>0.42708333333333331</v>
      </c>
      <c r="D124" s="13" t="s">
        <v>220</v>
      </c>
      <c r="E124" s="1">
        <v>10</v>
      </c>
      <c r="F124" s="130">
        <v>7</v>
      </c>
      <c r="G124" s="16">
        <v>0.24</v>
      </c>
      <c r="H124" s="24" t="s">
        <v>268</v>
      </c>
      <c r="I124" s="1"/>
    </row>
    <row r="125" spans="1:9">
      <c r="A125" s="1" t="s">
        <v>85</v>
      </c>
      <c r="B125" s="84">
        <v>40750</v>
      </c>
      <c r="C125" s="85">
        <v>0.42708333333333331</v>
      </c>
      <c r="D125" s="13" t="s">
        <v>220</v>
      </c>
      <c r="E125" s="1">
        <v>20</v>
      </c>
      <c r="F125" s="130">
        <v>12</v>
      </c>
      <c r="G125" s="16">
        <v>0.06</v>
      </c>
      <c r="H125" s="24" t="s">
        <v>268</v>
      </c>
      <c r="I125" s="1"/>
    </row>
    <row r="126" spans="1:9">
      <c r="A126" s="1" t="s">
        <v>85</v>
      </c>
      <c r="B126" s="84">
        <v>40750</v>
      </c>
      <c r="C126" s="85">
        <v>0.42708333333333331</v>
      </c>
      <c r="D126" s="13" t="s">
        <v>220</v>
      </c>
      <c r="E126" s="1">
        <v>30</v>
      </c>
      <c r="F126" s="130">
        <v>4</v>
      </c>
      <c r="G126" s="16">
        <v>0.3</v>
      </c>
      <c r="H126" s="24" t="s">
        <v>268</v>
      </c>
      <c r="I126" s="1"/>
    </row>
    <row r="127" spans="1:9">
      <c r="A127" s="1" t="s">
        <v>85</v>
      </c>
      <c r="B127" s="84">
        <v>40750</v>
      </c>
      <c r="C127" s="85">
        <v>0.42708333333333331</v>
      </c>
      <c r="D127" s="13" t="s">
        <v>220</v>
      </c>
      <c r="E127" s="1">
        <v>45</v>
      </c>
      <c r="F127" s="130">
        <v>6</v>
      </c>
      <c r="G127" s="16">
        <v>0</v>
      </c>
      <c r="H127" s="24" t="s">
        <v>268</v>
      </c>
      <c r="I127" s="1"/>
    </row>
    <row r="128" spans="1:9">
      <c r="A128" s="1" t="s">
        <v>85</v>
      </c>
      <c r="B128" s="84">
        <v>40750</v>
      </c>
      <c r="C128" s="85">
        <v>0.42708333333333331</v>
      </c>
      <c r="D128" s="13" t="s">
        <v>220</v>
      </c>
      <c r="E128" s="1">
        <v>60</v>
      </c>
      <c r="F128" s="130">
        <v>1</v>
      </c>
      <c r="G128" s="16">
        <v>0</v>
      </c>
      <c r="H128" s="24" t="s">
        <v>268</v>
      </c>
      <c r="I128" s="1"/>
    </row>
    <row r="129" spans="1:10">
      <c r="A129" s="1" t="s">
        <v>83</v>
      </c>
      <c r="B129" s="84">
        <v>40745</v>
      </c>
      <c r="D129" s="13" t="s">
        <v>198</v>
      </c>
      <c r="E129" s="1">
        <v>10</v>
      </c>
      <c r="F129" s="130">
        <v>12</v>
      </c>
      <c r="G129" s="16">
        <v>0.24</v>
      </c>
      <c r="H129" s="24" t="s">
        <v>268</v>
      </c>
      <c r="I129" s="1"/>
    </row>
    <row r="130" spans="1:10">
      <c r="A130" s="1" t="s">
        <v>83</v>
      </c>
      <c r="B130" s="84">
        <v>40745</v>
      </c>
      <c r="D130" s="13" t="s">
        <v>198</v>
      </c>
      <c r="E130" s="1">
        <v>30</v>
      </c>
      <c r="F130" s="130">
        <v>11</v>
      </c>
      <c r="G130" s="16">
        <v>0.2</v>
      </c>
      <c r="H130" s="24" t="s">
        <v>268</v>
      </c>
      <c r="I130" s="1"/>
    </row>
    <row r="131" spans="1:10">
      <c r="A131" s="1" t="s">
        <v>83</v>
      </c>
      <c r="B131" s="84">
        <v>40745</v>
      </c>
      <c r="D131" s="13" t="s">
        <v>198</v>
      </c>
      <c r="E131" s="1">
        <v>50</v>
      </c>
      <c r="F131" s="130">
        <v>12</v>
      </c>
      <c r="G131" s="16">
        <v>0.18</v>
      </c>
      <c r="H131" s="24" t="s">
        <v>268</v>
      </c>
      <c r="I131" s="1"/>
    </row>
    <row r="132" spans="1:10">
      <c r="A132" s="1" t="s">
        <v>83</v>
      </c>
      <c r="B132" s="84">
        <v>40745</v>
      </c>
      <c r="D132" s="13" t="s">
        <v>198</v>
      </c>
      <c r="E132" s="1">
        <v>70</v>
      </c>
      <c r="F132" s="130">
        <v>0.1</v>
      </c>
      <c r="G132" s="16">
        <v>0.1</v>
      </c>
      <c r="H132" s="24" t="s">
        <v>268</v>
      </c>
      <c r="I132" s="1"/>
    </row>
    <row r="133" spans="1:10">
      <c r="A133" s="1" t="s">
        <v>83</v>
      </c>
      <c r="B133" s="84">
        <v>40745</v>
      </c>
      <c r="D133" s="13" t="s">
        <v>198</v>
      </c>
      <c r="E133" s="1">
        <v>90</v>
      </c>
      <c r="F133" s="130">
        <v>0.08</v>
      </c>
      <c r="G133" s="16">
        <v>0.13</v>
      </c>
      <c r="H133" s="24" t="s">
        <v>268</v>
      </c>
      <c r="I133" s="1"/>
    </row>
    <row r="134" spans="1:10">
      <c r="A134" s="1" t="s">
        <v>86</v>
      </c>
      <c r="B134" s="84">
        <v>40746</v>
      </c>
      <c r="D134" s="13" t="s">
        <v>220</v>
      </c>
      <c r="E134" s="1">
        <v>10</v>
      </c>
      <c r="F134" s="130">
        <v>4</v>
      </c>
      <c r="G134" s="16">
        <v>0.3</v>
      </c>
      <c r="H134" s="24" t="s">
        <v>268</v>
      </c>
      <c r="I134" s="1"/>
    </row>
    <row r="135" spans="1:10">
      <c r="A135" s="1" t="s">
        <v>86</v>
      </c>
      <c r="B135" s="84">
        <v>40746</v>
      </c>
      <c r="D135" s="13" t="s">
        <v>220</v>
      </c>
      <c r="E135" s="1">
        <v>30</v>
      </c>
      <c r="F135" s="130">
        <v>4</v>
      </c>
      <c r="G135" s="16">
        <v>0.62</v>
      </c>
      <c r="H135" s="24" t="s">
        <v>268</v>
      </c>
      <c r="I135" s="1"/>
    </row>
    <row r="136" spans="1:10">
      <c r="A136" s="1" t="s">
        <v>86</v>
      </c>
      <c r="B136" s="84">
        <v>40746</v>
      </c>
      <c r="D136" s="13" t="s">
        <v>220</v>
      </c>
      <c r="E136" s="1">
        <v>50</v>
      </c>
      <c r="F136" s="130">
        <v>2</v>
      </c>
      <c r="G136" s="16">
        <v>0.2</v>
      </c>
      <c r="H136" s="24" t="s">
        <v>268</v>
      </c>
      <c r="I136" s="1"/>
    </row>
    <row r="137" spans="1:10">
      <c r="A137" s="1" t="s">
        <v>86</v>
      </c>
      <c r="B137" s="84">
        <v>40746</v>
      </c>
      <c r="D137" s="13" t="s">
        <v>220</v>
      </c>
      <c r="E137" s="1">
        <v>70</v>
      </c>
      <c r="F137" s="130">
        <v>0</v>
      </c>
      <c r="G137" s="16">
        <v>0</v>
      </c>
      <c r="H137" s="24" t="s">
        <v>268</v>
      </c>
      <c r="I137" s="1"/>
    </row>
    <row r="138" spans="1:10">
      <c r="A138" s="1" t="s">
        <v>86</v>
      </c>
      <c r="B138" s="84">
        <v>40746</v>
      </c>
      <c r="D138" s="13" t="s">
        <v>220</v>
      </c>
      <c r="E138" s="1">
        <v>90</v>
      </c>
      <c r="F138" s="130">
        <v>2</v>
      </c>
      <c r="G138" s="16">
        <v>0.32</v>
      </c>
      <c r="H138" s="24" t="s">
        <v>268</v>
      </c>
      <c r="I138" s="1"/>
    </row>
    <row r="139" spans="1:10">
      <c r="A139" s="1" t="s">
        <v>84</v>
      </c>
      <c r="B139" s="84">
        <v>40743</v>
      </c>
      <c r="C139" s="85">
        <v>0.375</v>
      </c>
      <c r="D139" s="13" t="s">
        <v>220</v>
      </c>
      <c r="E139" s="1">
        <v>7</v>
      </c>
      <c r="F139" s="130">
        <v>7</v>
      </c>
      <c r="G139" s="16">
        <v>7.0000000000000007E-2</v>
      </c>
      <c r="H139" s="24" t="s">
        <v>268</v>
      </c>
      <c r="I139" s="1"/>
    </row>
    <row r="140" spans="1:10">
      <c r="A140" s="1" t="s">
        <v>84</v>
      </c>
      <c r="B140" s="84">
        <v>40743</v>
      </c>
      <c r="C140" s="85">
        <v>0.375</v>
      </c>
      <c r="D140" s="13" t="s">
        <v>220</v>
      </c>
      <c r="E140" s="1">
        <v>35</v>
      </c>
      <c r="F140" s="130">
        <v>9</v>
      </c>
      <c r="G140" s="16">
        <v>0.12</v>
      </c>
      <c r="H140" s="24" t="s">
        <v>268</v>
      </c>
      <c r="I140" s="1"/>
      <c r="J140" s="89"/>
    </row>
    <row r="141" spans="1:10">
      <c r="A141" s="1" t="s">
        <v>84</v>
      </c>
      <c r="B141" s="84">
        <v>40743</v>
      </c>
      <c r="C141" s="85">
        <v>0.375</v>
      </c>
      <c r="D141" s="13" t="s">
        <v>220</v>
      </c>
      <c r="E141" s="24">
        <v>63</v>
      </c>
      <c r="F141" s="130">
        <v>11</v>
      </c>
      <c r="G141" s="89">
        <v>7.0000000000000007E-2</v>
      </c>
      <c r="H141" s="24" t="s">
        <v>268</v>
      </c>
      <c r="I141" s="1"/>
    </row>
    <row r="142" spans="1:10">
      <c r="A142" s="1" t="s">
        <v>84</v>
      </c>
      <c r="B142" s="84">
        <v>40743</v>
      </c>
      <c r="C142" s="85">
        <v>0.375</v>
      </c>
      <c r="D142" s="13" t="s">
        <v>220</v>
      </c>
      <c r="E142" s="1">
        <v>91</v>
      </c>
      <c r="F142" s="130">
        <v>9.5</v>
      </c>
      <c r="G142" s="16">
        <v>0.11</v>
      </c>
      <c r="H142" s="24" t="s">
        <v>268</v>
      </c>
      <c r="I142" s="1"/>
    </row>
    <row r="143" spans="1:10">
      <c r="A143" s="1" t="s">
        <v>84</v>
      </c>
      <c r="B143" s="84">
        <v>40743</v>
      </c>
      <c r="C143" s="85">
        <v>0.375</v>
      </c>
      <c r="D143" s="13" t="s">
        <v>220</v>
      </c>
      <c r="E143" s="1">
        <v>1.19</v>
      </c>
      <c r="F143" s="130">
        <v>0</v>
      </c>
      <c r="G143" s="16">
        <v>0</v>
      </c>
      <c r="H143" s="24" t="s">
        <v>268</v>
      </c>
      <c r="I143" s="1" t="s">
        <v>306</v>
      </c>
    </row>
    <row r="144" spans="1:10">
      <c r="A144" s="1" t="s">
        <v>84</v>
      </c>
      <c r="B144" s="84">
        <v>40743</v>
      </c>
      <c r="C144" s="85">
        <v>0.375</v>
      </c>
      <c r="D144" s="13" t="s">
        <v>220</v>
      </c>
      <c r="E144" s="1">
        <v>137</v>
      </c>
      <c r="F144" s="130">
        <v>8</v>
      </c>
      <c r="G144" s="16">
        <v>0.12</v>
      </c>
      <c r="H144" s="24" t="s">
        <v>268</v>
      </c>
      <c r="I144" s="1"/>
    </row>
    <row r="145" spans="1:9">
      <c r="A145" s="1" t="s">
        <v>84</v>
      </c>
      <c r="B145" s="84">
        <v>40743</v>
      </c>
      <c r="C145" s="85">
        <v>0.375</v>
      </c>
      <c r="D145" s="13" t="s">
        <v>220</v>
      </c>
      <c r="E145" s="1">
        <v>165</v>
      </c>
      <c r="F145" s="130">
        <v>10</v>
      </c>
      <c r="G145" s="16">
        <v>7.0000000000000007E-2</v>
      </c>
      <c r="H145" s="24" t="s">
        <v>268</v>
      </c>
      <c r="I145" s="1"/>
    </row>
    <row r="146" spans="1:9">
      <c r="A146" s="1" t="s">
        <v>84</v>
      </c>
      <c r="B146" s="84">
        <v>40743</v>
      </c>
      <c r="C146" s="85">
        <v>0.375</v>
      </c>
      <c r="D146" s="13" t="s">
        <v>220</v>
      </c>
      <c r="E146" s="1">
        <v>169</v>
      </c>
      <c r="F146" s="130">
        <v>9</v>
      </c>
      <c r="G146" s="16">
        <v>0.03</v>
      </c>
      <c r="H146" s="24" t="s">
        <v>268</v>
      </c>
      <c r="I146" s="1"/>
    </row>
    <row r="147" spans="1:9">
      <c r="A147" s="1" t="s">
        <v>80</v>
      </c>
      <c r="B147" s="84">
        <v>40739</v>
      </c>
      <c r="C147" s="85">
        <v>0.39583333333333331</v>
      </c>
      <c r="D147" s="13" t="s">
        <v>220</v>
      </c>
      <c r="E147" s="1">
        <v>10</v>
      </c>
      <c r="F147" s="130">
        <v>2</v>
      </c>
      <c r="G147" s="16">
        <v>0.23</v>
      </c>
      <c r="H147" s="24" t="s">
        <v>268</v>
      </c>
      <c r="I147" s="1"/>
    </row>
    <row r="148" spans="1:9">
      <c r="A148" s="1" t="s">
        <v>80</v>
      </c>
      <c r="B148" s="84">
        <v>40739</v>
      </c>
      <c r="C148" s="85">
        <v>0.39583333333333331</v>
      </c>
      <c r="D148" s="13" t="s">
        <v>220</v>
      </c>
      <c r="E148" s="1">
        <v>20</v>
      </c>
      <c r="F148" s="130">
        <v>2</v>
      </c>
      <c r="G148" s="16">
        <v>0.31</v>
      </c>
      <c r="H148" s="24" t="s">
        <v>268</v>
      </c>
      <c r="I148" s="1"/>
    </row>
    <row r="149" spans="1:9">
      <c r="A149" s="1" t="s">
        <v>80</v>
      </c>
      <c r="B149" s="84">
        <v>40739</v>
      </c>
      <c r="C149" s="85">
        <v>0.39583333333333331</v>
      </c>
      <c r="D149" s="13" t="s">
        <v>220</v>
      </c>
      <c r="E149" s="1">
        <v>30</v>
      </c>
      <c r="F149" s="130">
        <v>2</v>
      </c>
      <c r="G149" s="16">
        <v>0.28000000000000003</v>
      </c>
      <c r="H149" s="24" t="s">
        <v>268</v>
      </c>
      <c r="I149" s="1"/>
    </row>
    <row r="150" spans="1:9">
      <c r="A150" s="1" t="s">
        <v>80</v>
      </c>
      <c r="B150" s="84">
        <v>40739</v>
      </c>
      <c r="C150" s="85">
        <v>0.39583333333333331</v>
      </c>
      <c r="D150" s="13" t="s">
        <v>220</v>
      </c>
      <c r="E150" s="1">
        <v>40</v>
      </c>
      <c r="F150" s="130">
        <v>2</v>
      </c>
      <c r="G150" s="16">
        <v>0.13</v>
      </c>
      <c r="H150" s="24" t="s">
        <v>268</v>
      </c>
      <c r="I150" s="1"/>
    </row>
    <row r="151" spans="1:9">
      <c r="A151" s="1" t="s">
        <v>80</v>
      </c>
      <c r="B151" s="84">
        <v>40739</v>
      </c>
      <c r="C151" s="85">
        <v>0.39583333333333331</v>
      </c>
      <c r="D151" s="13" t="s">
        <v>220</v>
      </c>
      <c r="E151" s="1">
        <v>50</v>
      </c>
      <c r="F151" s="130">
        <v>0</v>
      </c>
      <c r="G151" s="16">
        <v>0</v>
      </c>
      <c r="H151" s="24" t="s">
        <v>268</v>
      </c>
      <c r="I151" s="1"/>
    </row>
    <row r="152" spans="1:9">
      <c r="A152" s="1" t="s">
        <v>79</v>
      </c>
      <c r="B152" s="84">
        <v>40739</v>
      </c>
      <c r="C152" s="85">
        <v>0.45833333333333331</v>
      </c>
      <c r="D152" s="13" t="s">
        <v>220</v>
      </c>
      <c r="F152" s="130">
        <v>6</v>
      </c>
      <c r="G152" s="16">
        <v>0.2</v>
      </c>
      <c r="H152" s="24" t="s">
        <v>268</v>
      </c>
      <c r="I152" s="1"/>
    </row>
    <row r="153" spans="1:9">
      <c r="A153" s="1" t="s">
        <v>79</v>
      </c>
      <c r="B153" s="84">
        <v>40739</v>
      </c>
      <c r="C153" s="85">
        <v>0.45833333333333331</v>
      </c>
      <c r="D153" s="13" t="s">
        <v>220</v>
      </c>
      <c r="F153" s="130">
        <v>4</v>
      </c>
      <c r="G153" s="16">
        <v>0.37</v>
      </c>
      <c r="H153" s="24" t="s">
        <v>268</v>
      </c>
      <c r="I153" s="1"/>
    </row>
    <row r="154" spans="1:9">
      <c r="A154" s="1" t="s">
        <v>79</v>
      </c>
      <c r="B154" s="84">
        <v>40739</v>
      </c>
      <c r="C154" s="85">
        <v>0.45833333333333331</v>
      </c>
      <c r="D154" s="13" t="s">
        <v>220</v>
      </c>
      <c r="F154" s="130">
        <v>2</v>
      </c>
      <c r="G154" s="16">
        <v>0.37</v>
      </c>
      <c r="H154" s="24" t="s">
        <v>268</v>
      </c>
      <c r="I154" s="1"/>
    </row>
    <row r="155" spans="1:9">
      <c r="A155" s="1" t="s">
        <v>79</v>
      </c>
      <c r="B155" s="84">
        <v>40739</v>
      </c>
      <c r="C155" s="85">
        <v>0.45833333333333331</v>
      </c>
      <c r="D155" s="13" t="s">
        <v>220</v>
      </c>
      <c r="F155" s="130">
        <v>2</v>
      </c>
      <c r="G155" s="16">
        <v>0.21</v>
      </c>
      <c r="H155" s="24" t="s">
        <v>268</v>
      </c>
      <c r="I155" s="1"/>
    </row>
    <row r="156" spans="1:9">
      <c r="A156" s="1" t="s">
        <v>79</v>
      </c>
      <c r="B156" s="84">
        <v>40739</v>
      </c>
      <c r="C156" s="85">
        <v>0.45833333333333331</v>
      </c>
      <c r="D156" s="13" t="s">
        <v>220</v>
      </c>
      <c r="F156" s="130">
        <v>2</v>
      </c>
      <c r="G156" s="16">
        <v>0.44</v>
      </c>
      <c r="H156" s="24" t="s">
        <v>268</v>
      </c>
      <c r="I156" s="1"/>
    </row>
    <row r="157" spans="1:9">
      <c r="I157" s="1"/>
    </row>
    <row r="158" spans="1:9">
      <c r="I158" s="1"/>
    </row>
    <row r="159" spans="1:9">
      <c r="I159" s="1"/>
    </row>
    <row r="160" spans="1:9">
      <c r="I160" s="1"/>
    </row>
    <row r="161" spans="9:9">
      <c r="I161" s="1"/>
    </row>
    <row r="162" spans="9:9">
      <c r="I162" s="1"/>
    </row>
    <row r="163" spans="9:9">
      <c r="I163" s="1"/>
    </row>
    <row r="164" spans="9:9">
      <c r="I164" s="1"/>
    </row>
    <row r="165" spans="9:9">
      <c r="I165" s="1"/>
    </row>
    <row r="166" spans="9:9">
      <c r="I166" s="1"/>
    </row>
    <row r="167" spans="9:9">
      <c r="I167" s="1"/>
    </row>
    <row r="168" spans="9:9">
      <c r="I168" s="1"/>
    </row>
    <row r="169" spans="9:9">
      <c r="I169" s="1"/>
    </row>
    <row r="170" spans="9:9">
      <c r="I170" s="1"/>
    </row>
    <row r="171" spans="9:9">
      <c r="I171" s="1"/>
    </row>
    <row r="172" spans="9:9">
      <c r="I172" s="1"/>
    </row>
    <row r="173" spans="9:9">
      <c r="I173" s="1"/>
    </row>
    <row r="174" spans="9:9">
      <c r="I174" s="1"/>
    </row>
    <row r="175" spans="9:9">
      <c r="I175" s="1"/>
    </row>
    <row r="176" spans="9:9">
      <c r="I176" s="1"/>
    </row>
    <row r="177" spans="9:9">
      <c r="I177" s="1"/>
    </row>
    <row r="178" spans="9:9">
      <c r="I178" s="1"/>
    </row>
    <row r="179" spans="9:9">
      <c r="I179" s="1"/>
    </row>
    <row r="180" spans="9:9">
      <c r="I180" s="1"/>
    </row>
    <row r="181" spans="9:9">
      <c r="I181" s="1"/>
    </row>
    <row r="182" spans="9:9">
      <c r="I182" s="1"/>
    </row>
    <row r="183" spans="9:9">
      <c r="I183" s="1"/>
    </row>
    <row r="184" spans="9:9">
      <c r="I184" s="1"/>
    </row>
    <row r="185" spans="9:9">
      <c r="I185" s="1"/>
    </row>
    <row r="186" spans="9:9">
      <c r="I186" s="1"/>
    </row>
    <row r="187" spans="9:9">
      <c r="I187" s="1"/>
    </row>
    <row r="188" spans="9:9">
      <c r="I188" s="1"/>
    </row>
    <row r="189" spans="9:9">
      <c r="I189" s="1"/>
    </row>
    <row r="190" spans="9:9">
      <c r="I190" s="1"/>
    </row>
    <row r="191" spans="9:9">
      <c r="I191" s="1"/>
    </row>
    <row r="192" spans="9:9">
      <c r="I192" s="1"/>
    </row>
    <row r="193" spans="9:9">
      <c r="I193" s="1"/>
    </row>
    <row r="194" spans="9:9">
      <c r="I194" s="1"/>
    </row>
    <row r="195" spans="9:9">
      <c r="I195" s="1"/>
    </row>
    <row r="196" spans="9:9">
      <c r="I196" s="1"/>
    </row>
    <row r="197" spans="9:9">
      <c r="I197" s="1"/>
    </row>
    <row r="198" spans="9:9">
      <c r="I198" s="1"/>
    </row>
    <row r="199" spans="9:9">
      <c r="I199" s="1"/>
    </row>
    <row r="200" spans="9:9">
      <c r="I200" s="1"/>
    </row>
    <row r="201" spans="9:9">
      <c r="I201" s="1"/>
    </row>
    <row r="202" spans="9:9">
      <c r="I202" s="1"/>
    </row>
    <row r="203" spans="9:9">
      <c r="I203" s="1"/>
    </row>
    <row r="204" spans="9:9">
      <c r="I204" s="1"/>
    </row>
    <row r="205" spans="9:9">
      <c r="I205" s="1"/>
    </row>
    <row r="206" spans="9:9">
      <c r="I206" s="1"/>
    </row>
    <row r="207" spans="9:9">
      <c r="I207" s="1"/>
    </row>
    <row r="208" spans="9:9">
      <c r="I208" s="1"/>
    </row>
    <row r="209" spans="9:9">
      <c r="I209" s="1"/>
    </row>
    <row r="210" spans="9:9">
      <c r="I210" s="1"/>
    </row>
    <row r="211" spans="9:9">
      <c r="I211" s="1"/>
    </row>
    <row r="212" spans="9:9">
      <c r="I212" s="1"/>
    </row>
    <row r="213" spans="9:9">
      <c r="I213" s="1"/>
    </row>
    <row r="214" spans="9:9">
      <c r="I214" s="1"/>
    </row>
    <row r="215" spans="9:9">
      <c r="I215" s="1"/>
    </row>
    <row r="216" spans="9:9">
      <c r="I216" s="1"/>
    </row>
    <row r="217" spans="9:9">
      <c r="I217" s="1"/>
    </row>
    <row r="218" spans="9:9">
      <c r="I218" s="1"/>
    </row>
    <row r="219" spans="9:9">
      <c r="I219" s="1"/>
    </row>
    <row r="220" spans="9:9">
      <c r="I220" s="1"/>
    </row>
    <row r="221" spans="9:9">
      <c r="I221" s="1"/>
    </row>
    <row r="222" spans="9:9">
      <c r="I222" s="1"/>
    </row>
    <row r="223" spans="9:9">
      <c r="I223" s="1"/>
    </row>
    <row r="224" spans="9:9">
      <c r="I224" s="1"/>
    </row>
    <row r="225" spans="9:9">
      <c r="I225" s="1"/>
    </row>
    <row r="226" spans="9:9">
      <c r="I226" s="1"/>
    </row>
    <row r="227" spans="9:9">
      <c r="I227" s="1"/>
    </row>
    <row r="228" spans="9:9">
      <c r="I228" s="1"/>
    </row>
    <row r="229" spans="9:9">
      <c r="I229" s="1"/>
    </row>
    <row r="230" spans="9:9">
      <c r="I230" s="1"/>
    </row>
    <row r="231" spans="9:9">
      <c r="I231" s="1"/>
    </row>
    <row r="232" spans="9:9">
      <c r="I232" s="1"/>
    </row>
    <row r="233" spans="9:9">
      <c r="I233" s="1"/>
    </row>
    <row r="234" spans="9:9">
      <c r="I234" s="1"/>
    </row>
    <row r="235" spans="9:9">
      <c r="I235" s="1"/>
    </row>
    <row r="236" spans="9:9">
      <c r="I236" s="1"/>
    </row>
    <row r="237" spans="9:9">
      <c r="I237" s="1"/>
    </row>
    <row r="238" spans="9:9">
      <c r="I238" s="1"/>
    </row>
    <row r="239" spans="9:9">
      <c r="I239" s="1"/>
    </row>
    <row r="240" spans="9:9">
      <c r="I240" s="1"/>
    </row>
    <row r="241" spans="9:9">
      <c r="I241" s="1"/>
    </row>
    <row r="242" spans="9:9">
      <c r="I242" s="1"/>
    </row>
    <row r="243" spans="9:9">
      <c r="I243" s="1"/>
    </row>
    <row r="244" spans="9:9">
      <c r="I244" s="1"/>
    </row>
    <row r="245" spans="9:9">
      <c r="I245" s="1"/>
    </row>
    <row r="246" spans="9:9">
      <c r="I246" s="1"/>
    </row>
    <row r="247" spans="9:9">
      <c r="I247" s="1"/>
    </row>
    <row r="248" spans="9:9">
      <c r="I248" s="1"/>
    </row>
    <row r="249" spans="9:9">
      <c r="I249" s="1"/>
    </row>
    <row r="250" spans="9:9">
      <c r="I250" s="1"/>
    </row>
    <row r="251" spans="9:9">
      <c r="I251" s="1"/>
    </row>
    <row r="252" spans="9:9">
      <c r="I252" s="1"/>
    </row>
    <row r="253" spans="9:9">
      <c r="I253" s="1"/>
    </row>
    <row r="254" spans="9:9">
      <c r="I254" s="1"/>
    </row>
    <row r="255" spans="9:9">
      <c r="I255" s="1"/>
    </row>
    <row r="256" spans="9:9">
      <c r="I256" s="1"/>
    </row>
    <row r="257" spans="9:9">
      <c r="I257" s="1"/>
    </row>
    <row r="258" spans="9:9">
      <c r="I258" s="1"/>
    </row>
    <row r="259" spans="9:9">
      <c r="I259" s="1"/>
    </row>
    <row r="260" spans="9:9">
      <c r="I260" s="1"/>
    </row>
    <row r="261" spans="9:9">
      <c r="I261" s="1"/>
    </row>
    <row r="262" spans="9:9">
      <c r="I262" s="1"/>
    </row>
    <row r="263" spans="9:9">
      <c r="I263" s="1"/>
    </row>
    <row r="264" spans="9:9">
      <c r="I264" s="1"/>
    </row>
    <row r="265" spans="9:9">
      <c r="I265" s="1"/>
    </row>
    <row r="266" spans="9:9">
      <c r="I266" s="1"/>
    </row>
    <row r="267" spans="9:9">
      <c r="I267" s="1"/>
    </row>
    <row r="268" spans="9:9">
      <c r="I268" s="1"/>
    </row>
    <row r="269" spans="9:9">
      <c r="I269" s="1"/>
    </row>
    <row r="270" spans="9:9">
      <c r="I270" s="1"/>
    </row>
    <row r="271" spans="9:9">
      <c r="I271" s="1"/>
    </row>
    <row r="272" spans="9:9">
      <c r="I272" s="1"/>
    </row>
    <row r="273" spans="9:9">
      <c r="I273" s="1"/>
    </row>
    <row r="274" spans="9:9">
      <c r="I274" s="1"/>
    </row>
    <row r="275" spans="9:9">
      <c r="I275" s="1"/>
    </row>
    <row r="276" spans="9:9">
      <c r="I276" s="1"/>
    </row>
    <row r="277" spans="9:9">
      <c r="I277" s="1"/>
    </row>
    <row r="278" spans="9:9">
      <c r="I278" s="1"/>
    </row>
    <row r="279" spans="9:9">
      <c r="I279" s="1"/>
    </row>
    <row r="280" spans="9:9">
      <c r="I280" s="1"/>
    </row>
    <row r="281" spans="9:9">
      <c r="I281" s="1"/>
    </row>
    <row r="282" spans="9:9">
      <c r="I282" s="1"/>
    </row>
    <row r="283" spans="9:9">
      <c r="I283" s="1"/>
    </row>
    <row r="284" spans="9:9">
      <c r="I284" s="1"/>
    </row>
    <row r="285" spans="9:9">
      <c r="I285" s="1"/>
    </row>
    <row r="286" spans="9:9">
      <c r="I286" s="1"/>
    </row>
    <row r="287" spans="9:9">
      <c r="I287" s="1"/>
    </row>
    <row r="288" spans="9:9">
      <c r="I288" s="1"/>
    </row>
    <row r="289" spans="9:9">
      <c r="I289" s="1"/>
    </row>
    <row r="290" spans="9:9">
      <c r="I290" s="1"/>
    </row>
    <row r="291" spans="9:9">
      <c r="I291" s="1"/>
    </row>
    <row r="292" spans="9:9">
      <c r="I292" s="1"/>
    </row>
    <row r="293" spans="9:9">
      <c r="I293" s="1"/>
    </row>
    <row r="294" spans="9:9">
      <c r="I294" s="1"/>
    </row>
    <row r="295" spans="9:9">
      <c r="I295" s="1"/>
    </row>
    <row r="296" spans="9:9">
      <c r="I296" s="1"/>
    </row>
    <row r="297" spans="9:9">
      <c r="I297" s="1"/>
    </row>
    <row r="298" spans="9:9">
      <c r="I298" s="1"/>
    </row>
    <row r="299" spans="9:9">
      <c r="I299" s="1"/>
    </row>
    <row r="300" spans="9:9">
      <c r="I300" s="1"/>
    </row>
    <row r="301" spans="9:9">
      <c r="I301" s="1"/>
    </row>
    <row r="302" spans="9:9">
      <c r="I302" s="1"/>
    </row>
    <row r="303" spans="9:9">
      <c r="I303" s="1"/>
    </row>
    <row r="304" spans="9:9">
      <c r="I304" s="1"/>
    </row>
    <row r="305" spans="9:9">
      <c r="I305" s="1"/>
    </row>
    <row r="306" spans="9:9">
      <c r="I306" s="1"/>
    </row>
    <row r="307" spans="9:9">
      <c r="I307" s="1"/>
    </row>
    <row r="308" spans="9:9">
      <c r="I308" s="1"/>
    </row>
    <row r="309" spans="9:9">
      <c r="I309" s="1"/>
    </row>
    <row r="310" spans="9:9">
      <c r="I310" s="1"/>
    </row>
    <row r="311" spans="9:9">
      <c r="I311" s="1"/>
    </row>
    <row r="312" spans="9:9">
      <c r="I312" s="1"/>
    </row>
    <row r="313" spans="9:9">
      <c r="I313" s="1"/>
    </row>
    <row r="314" spans="9:9">
      <c r="I314" s="1"/>
    </row>
    <row r="315" spans="9:9">
      <c r="I315" s="1"/>
    </row>
    <row r="316" spans="9:9">
      <c r="I316" s="1"/>
    </row>
    <row r="317" spans="9:9">
      <c r="I317" s="1"/>
    </row>
    <row r="318" spans="9:9">
      <c r="I318" s="1"/>
    </row>
    <row r="319" spans="9:9">
      <c r="I319" s="1"/>
    </row>
    <row r="320" spans="9:9">
      <c r="I320" s="1"/>
    </row>
    <row r="321" spans="9:9">
      <c r="I321" s="1"/>
    </row>
    <row r="322" spans="9:9">
      <c r="I322" s="1"/>
    </row>
    <row r="323" spans="9:9">
      <c r="I323" s="1"/>
    </row>
    <row r="324" spans="9:9">
      <c r="I324" s="1"/>
    </row>
    <row r="325" spans="9:9">
      <c r="I325" s="1"/>
    </row>
    <row r="326" spans="9:9">
      <c r="I326" s="1"/>
    </row>
    <row r="327" spans="9:9">
      <c r="I327" s="1"/>
    </row>
    <row r="328" spans="9:9">
      <c r="I328" s="1"/>
    </row>
    <row r="329" spans="9:9">
      <c r="I329" s="1"/>
    </row>
    <row r="330" spans="9:9">
      <c r="I330" s="1"/>
    </row>
    <row r="331" spans="9:9">
      <c r="I331" s="1"/>
    </row>
    <row r="332" spans="9:9">
      <c r="I332" s="1"/>
    </row>
    <row r="333" spans="9:9">
      <c r="I333" s="1"/>
    </row>
    <row r="334" spans="9:9">
      <c r="I334" s="1"/>
    </row>
    <row r="335" spans="9:9">
      <c r="I335" s="1"/>
    </row>
    <row r="336" spans="9:9">
      <c r="I336" s="1"/>
    </row>
    <row r="337" spans="9:9">
      <c r="I337" s="1"/>
    </row>
    <row r="338" spans="9:9">
      <c r="I338" s="1"/>
    </row>
    <row r="339" spans="9:9">
      <c r="I339" s="1"/>
    </row>
    <row r="340" spans="9:9">
      <c r="I340" s="1"/>
    </row>
    <row r="341" spans="9:9">
      <c r="I341" s="1"/>
    </row>
    <row r="342" spans="9:9">
      <c r="I342" s="1"/>
    </row>
    <row r="343" spans="9:9">
      <c r="I343" s="1"/>
    </row>
    <row r="344" spans="9:9">
      <c r="I344" s="1"/>
    </row>
    <row r="345" spans="9:9">
      <c r="I345" s="1"/>
    </row>
    <row r="346" spans="9:9">
      <c r="I346" s="1"/>
    </row>
    <row r="347" spans="9:9">
      <c r="I347" s="1"/>
    </row>
    <row r="348" spans="9:9">
      <c r="I348" s="1"/>
    </row>
    <row r="349" spans="9:9">
      <c r="I349" s="1"/>
    </row>
    <row r="350" spans="9:9">
      <c r="I350" s="1"/>
    </row>
    <row r="351" spans="9:9">
      <c r="I351" s="1"/>
    </row>
    <row r="352" spans="9:9">
      <c r="I352" s="1"/>
    </row>
    <row r="353" spans="9:9">
      <c r="I353" s="1"/>
    </row>
    <row r="354" spans="9:9">
      <c r="I354" s="1"/>
    </row>
    <row r="355" spans="9:9">
      <c r="I355" s="1"/>
    </row>
    <row r="356" spans="9:9">
      <c r="I356" s="1"/>
    </row>
    <row r="357" spans="9:9">
      <c r="I357" s="1"/>
    </row>
    <row r="358" spans="9:9">
      <c r="I358" s="1"/>
    </row>
    <row r="359" spans="9:9">
      <c r="I359" s="1"/>
    </row>
    <row r="360" spans="9:9">
      <c r="I360" s="1"/>
    </row>
    <row r="361" spans="9:9">
      <c r="I361" s="1"/>
    </row>
    <row r="362" spans="9:9">
      <c r="I362" s="1"/>
    </row>
    <row r="363" spans="9:9">
      <c r="I363" s="1"/>
    </row>
    <row r="364" spans="9:9">
      <c r="I364" s="1"/>
    </row>
    <row r="365" spans="9:9">
      <c r="I365" s="1"/>
    </row>
    <row r="366" spans="9:9">
      <c r="I366" s="1"/>
    </row>
    <row r="367" spans="9:9">
      <c r="I367" s="1"/>
    </row>
    <row r="368" spans="9:9">
      <c r="I368" s="1"/>
    </row>
    <row r="369" spans="9:9">
      <c r="I369" s="1"/>
    </row>
    <row r="370" spans="9:9">
      <c r="I370" s="1"/>
    </row>
    <row r="371" spans="9:9">
      <c r="I371" s="1"/>
    </row>
    <row r="372" spans="9:9">
      <c r="I372" s="1"/>
    </row>
    <row r="373" spans="9:9">
      <c r="I373" s="1"/>
    </row>
    <row r="374" spans="9:9">
      <c r="I374" s="1"/>
    </row>
    <row r="375" spans="9:9">
      <c r="I375" s="1"/>
    </row>
    <row r="376" spans="9:9">
      <c r="I376" s="1"/>
    </row>
    <row r="377" spans="9:9">
      <c r="I377" s="1"/>
    </row>
    <row r="378" spans="9:9">
      <c r="I378" s="1"/>
    </row>
    <row r="379" spans="9:9">
      <c r="I379" s="1"/>
    </row>
    <row r="380" spans="9:9">
      <c r="I380" s="1"/>
    </row>
    <row r="381" spans="9:9">
      <c r="I381" s="1"/>
    </row>
    <row r="382" spans="9:9">
      <c r="I382" s="1"/>
    </row>
    <row r="383" spans="9:9">
      <c r="I383" s="1"/>
    </row>
    <row r="384" spans="9:9">
      <c r="I384" s="1"/>
    </row>
    <row r="385" spans="9:9">
      <c r="I385" s="1"/>
    </row>
    <row r="386" spans="9:9">
      <c r="I386" s="1"/>
    </row>
    <row r="387" spans="9:9">
      <c r="I387" s="1"/>
    </row>
    <row r="388" spans="9:9">
      <c r="I388" s="1"/>
    </row>
    <row r="389" spans="9:9">
      <c r="I389" s="1"/>
    </row>
    <row r="390" spans="9:9">
      <c r="I390" s="1"/>
    </row>
    <row r="391" spans="9:9">
      <c r="I391" s="1"/>
    </row>
    <row r="392" spans="9:9">
      <c r="I392" s="1"/>
    </row>
    <row r="393" spans="9:9">
      <c r="I393" s="1"/>
    </row>
    <row r="394" spans="9:9">
      <c r="I394" s="1"/>
    </row>
    <row r="395" spans="9:9">
      <c r="I395" s="1"/>
    </row>
    <row r="396" spans="9:9">
      <c r="I396" s="1"/>
    </row>
    <row r="397" spans="9:9">
      <c r="I397" s="1"/>
    </row>
    <row r="398" spans="9:9">
      <c r="I398" s="1"/>
    </row>
    <row r="399" spans="9:9">
      <c r="I399" s="1"/>
    </row>
    <row r="400" spans="9:9">
      <c r="I400" s="1"/>
    </row>
    <row r="401" spans="9:9">
      <c r="I401" s="1"/>
    </row>
    <row r="402" spans="9:9">
      <c r="I402" s="1"/>
    </row>
    <row r="403" spans="9:9">
      <c r="I403" s="1"/>
    </row>
    <row r="404" spans="9:9">
      <c r="I404" s="1"/>
    </row>
    <row r="405" spans="9:9">
      <c r="I405" s="1"/>
    </row>
    <row r="406" spans="9:9">
      <c r="I406" s="1"/>
    </row>
    <row r="407" spans="9:9">
      <c r="I407" s="1"/>
    </row>
    <row r="408" spans="9:9">
      <c r="I408" s="1"/>
    </row>
    <row r="409" spans="9:9">
      <c r="I409" s="1"/>
    </row>
    <row r="410" spans="9:9">
      <c r="I410" s="1"/>
    </row>
    <row r="411" spans="9:9">
      <c r="I411" s="1"/>
    </row>
    <row r="412" spans="9:9">
      <c r="I412" s="1"/>
    </row>
    <row r="413" spans="9:9">
      <c r="I413" s="1"/>
    </row>
    <row r="414" spans="9:9">
      <c r="I414" s="1"/>
    </row>
    <row r="415" spans="9:9">
      <c r="I415" s="1"/>
    </row>
    <row r="416" spans="9:9">
      <c r="I416" s="1"/>
    </row>
    <row r="417" spans="9:9">
      <c r="I417" s="1"/>
    </row>
    <row r="418" spans="9:9">
      <c r="I418" s="1"/>
    </row>
    <row r="419" spans="9:9">
      <c r="I419" s="1"/>
    </row>
    <row r="420" spans="9:9">
      <c r="I420" s="1"/>
    </row>
    <row r="421" spans="9:9">
      <c r="I421" s="1"/>
    </row>
    <row r="422" spans="9:9">
      <c r="I422" s="1"/>
    </row>
    <row r="423" spans="9:9">
      <c r="I423" s="1"/>
    </row>
    <row r="424" spans="9:9">
      <c r="I424" s="1"/>
    </row>
    <row r="425" spans="9:9">
      <c r="I425" s="1"/>
    </row>
    <row r="426" spans="9:9">
      <c r="I426" s="1"/>
    </row>
    <row r="427" spans="9:9">
      <c r="I427" s="1"/>
    </row>
    <row r="428" spans="9:9">
      <c r="I428" s="1"/>
    </row>
    <row r="429" spans="9:9">
      <c r="I429" s="1"/>
    </row>
    <row r="430" spans="9:9">
      <c r="I430" s="1"/>
    </row>
    <row r="431" spans="9:9">
      <c r="I431" s="1"/>
    </row>
    <row r="432" spans="9:9">
      <c r="I432" s="1"/>
    </row>
    <row r="433" spans="9:9">
      <c r="I433" s="1"/>
    </row>
    <row r="434" spans="9:9">
      <c r="I434" s="1"/>
    </row>
    <row r="435" spans="9:9">
      <c r="I435" s="1"/>
    </row>
    <row r="436" spans="9:9">
      <c r="I436" s="1"/>
    </row>
    <row r="437" spans="9:9">
      <c r="I437" s="1"/>
    </row>
    <row r="438" spans="9:9">
      <c r="I438" s="1"/>
    </row>
    <row r="439" spans="9:9">
      <c r="I439" s="1"/>
    </row>
    <row r="440" spans="9:9">
      <c r="I440" s="1"/>
    </row>
    <row r="441" spans="9:9">
      <c r="I441" s="1"/>
    </row>
    <row r="442" spans="9:9">
      <c r="I442" s="1"/>
    </row>
    <row r="443" spans="9:9">
      <c r="I443" s="1"/>
    </row>
    <row r="444" spans="9:9">
      <c r="I444" s="1"/>
    </row>
    <row r="445" spans="9:9">
      <c r="I445" s="1"/>
    </row>
    <row r="446" spans="9:9">
      <c r="I446" s="1"/>
    </row>
    <row r="447" spans="9:9">
      <c r="I447" s="1"/>
    </row>
    <row r="448" spans="9:9">
      <c r="I448" s="1"/>
    </row>
    <row r="449" spans="9:9">
      <c r="I449" s="1"/>
    </row>
    <row r="450" spans="9:9">
      <c r="I450" s="1"/>
    </row>
    <row r="451" spans="9:9">
      <c r="I451" s="1"/>
    </row>
    <row r="452" spans="9:9">
      <c r="I452" s="1"/>
    </row>
    <row r="453" spans="9:9">
      <c r="I453" s="1"/>
    </row>
    <row r="454" spans="9:9">
      <c r="I454" s="1"/>
    </row>
    <row r="455" spans="9:9">
      <c r="I455" s="1"/>
    </row>
    <row r="456" spans="9:9">
      <c r="I456" s="1"/>
    </row>
    <row r="457" spans="9:9">
      <c r="I457" s="1"/>
    </row>
    <row r="458" spans="9:9">
      <c r="I458" s="1"/>
    </row>
    <row r="459" spans="9:9">
      <c r="I459" s="1"/>
    </row>
    <row r="460" spans="9:9">
      <c r="I460" s="1"/>
    </row>
    <row r="461" spans="9:9">
      <c r="I461" s="1"/>
    </row>
    <row r="462" spans="9:9">
      <c r="I462" s="1"/>
    </row>
    <row r="463" spans="9:9">
      <c r="I463" s="1"/>
    </row>
    <row r="464" spans="9:9">
      <c r="I464" s="1"/>
    </row>
    <row r="465" spans="9:9">
      <c r="I465" s="1"/>
    </row>
    <row r="466" spans="9:9">
      <c r="I466" s="1"/>
    </row>
    <row r="467" spans="9:9">
      <c r="I467" s="1"/>
    </row>
    <row r="468" spans="9:9">
      <c r="I468" s="1"/>
    </row>
    <row r="469" spans="9:9">
      <c r="I469" s="1"/>
    </row>
    <row r="470" spans="9:9">
      <c r="I470" s="1"/>
    </row>
    <row r="471" spans="9:9">
      <c r="I471" s="1"/>
    </row>
    <row r="472" spans="9:9">
      <c r="I472" s="1"/>
    </row>
    <row r="473" spans="9:9">
      <c r="I473" s="1"/>
    </row>
    <row r="474" spans="9:9">
      <c r="I474" s="1"/>
    </row>
    <row r="475" spans="9:9">
      <c r="I475" s="1"/>
    </row>
    <row r="476" spans="9:9">
      <c r="I476" s="1"/>
    </row>
    <row r="477" spans="9:9">
      <c r="I477" s="1"/>
    </row>
    <row r="478" spans="9:9">
      <c r="I478" s="1"/>
    </row>
    <row r="479" spans="9:9">
      <c r="I479" s="1"/>
    </row>
    <row r="480" spans="9:9">
      <c r="I480" s="1"/>
    </row>
    <row r="481" spans="9:9">
      <c r="I481" s="1"/>
    </row>
    <row r="482" spans="9:9">
      <c r="I482" s="1"/>
    </row>
    <row r="483" spans="9:9">
      <c r="I483" s="1"/>
    </row>
    <row r="484" spans="9:9">
      <c r="I484" s="1"/>
    </row>
    <row r="485" spans="9:9">
      <c r="I485" s="1"/>
    </row>
    <row r="486" spans="9:9">
      <c r="I486" s="1"/>
    </row>
    <row r="487" spans="9:9">
      <c r="I487" s="1"/>
    </row>
    <row r="488" spans="9:9">
      <c r="I488" s="1"/>
    </row>
    <row r="489" spans="9:9">
      <c r="I489" s="1"/>
    </row>
    <row r="490" spans="9:9">
      <c r="I490" s="1"/>
    </row>
    <row r="491" spans="9:9">
      <c r="I491" s="1"/>
    </row>
    <row r="492" spans="9:9">
      <c r="I492" s="1"/>
    </row>
    <row r="493" spans="9:9">
      <c r="I493" s="1"/>
    </row>
    <row r="494" spans="9:9">
      <c r="I494" s="1"/>
    </row>
    <row r="495" spans="9:9">
      <c r="I495" s="1"/>
    </row>
    <row r="496" spans="9:9">
      <c r="I496" s="1"/>
    </row>
    <row r="497" spans="9:9">
      <c r="I497" s="1"/>
    </row>
    <row r="498" spans="9:9">
      <c r="I498" s="1"/>
    </row>
    <row r="499" spans="9:9">
      <c r="I499" s="1"/>
    </row>
    <row r="500" spans="9:9">
      <c r="I500" s="1"/>
    </row>
    <row r="501" spans="9:9">
      <c r="I501" s="1"/>
    </row>
    <row r="502" spans="9:9">
      <c r="I502" s="1"/>
    </row>
    <row r="503" spans="9:9">
      <c r="I503" s="1"/>
    </row>
    <row r="504" spans="9:9">
      <c r="I504" s="1"/>
    </row>
    <row r="505" spans="9:9">
      <c r="I505" s="1"/>
    </row>
    <row r="506" spans="9:9">
      <c r="I506" s="1"/>
    </row>
    <row r="507" spans="9:9">
      <c r="I507" s="1"/>
    </row>
    <row r="508" spans="9:9">
      <c r="I508" s="1"/>
    </row>
    <row r="509" spans="9:9">
      <c r="I509" s="1"/>
    </row>
    <row r="510" spans="9:9">
      <c r="I510" s="1"/>
    </row>
    <row r="511" spans="9:9">
      <c r="I511" s="1"/>
    </row>
    <row r="512" spans="9:9">
      <c r="I512" s="1"/>
    </row>
    <row r="513" spans="9:9">
      <c r="I513" s="1"/>
    </row>
    <row r="514" spans="9:9">
      <c r="I514" s="1"/>
    </row>
    <row r="515" spans="9:9">
      <c r="I515" s="1"/>
    </row>
    <row r="516" spans="9:9">
      <c r="I516" s="1"/>
    </row>
    <row r="517" spans="9:9">
      <c r="I517" s="1"/>
    </row>
    <row r="518" spans="9:9">
      <c r="I518" s="1"/>
    </row>
    <row r="519" spans="9:9">
      <c r="I519" s="1"/>
    </row>
    <row r="520" spans="9:9">
      <c r="I520" s="1"/>
    </row>
    <row r="521" spans="9:9">
      <c r="I521" s="1"/>
    </row>
    <row r="522" spans="9:9">
      <c r="I522" s="1"/>
    </row>
    <row r="523" spans="9:9">
      <c r="I523" s="1"/>
    </row>
    <row r="524" spans="9:9">
      <c r="I524" s="1"/>
    </row>
    <row r="525" spans="9:9">
      <c r="I525" s="1"/>
    </row>
    <row r="526" spans="9:9">
      <c r="I526" s="1"/>
    </row>
    <row r="527" spans="9:9">
      <c r="I527" s="1"/>
    </row>
    <row r="528" spans="9:9">
      <c r="I528" s="1"/>
    </row>
    <row r="529" spans="9:9">
      <c r="I529" s="1"/>
    </row>
    <row r="530" spans="9:9">
      <c r="I530" s="1"/>
    </row>
    <row r="531" spans="9:9">
      <c r="I531" s="1"/>
    </row>
    <row r="532" spans="9:9">
      <c r="I532" s="1"/>
    </row>
    <row r="533" spans="9:9">
      <c r="I533" s="1"/>
    </row>
    <row r="534" spans="9:9">
      <c r="I534" s="1"/>
    </row>
    <row r="535" spans="9:9">
      <c r="I535" s="1"/>
    </row>
    <row r="536" spans="9:9">
      <c r="I536" s="1"/>
    </row>
    <row r="537" spans="9:9">
      <c r="I537" s="1"/>
    </row>
    <row r="538" spans="9:9">
      <c r="I538" s="1"/>
    </row>
    <row r="539" spans="9:9">
      <c r="I539" s="1"/>
    </row>
    <row r="540" spans="9:9">
      <c r="I540" s="1"/>
    </row>
    <row r="541" spans="9:9">
      <c r="I541" s="1"/>
    </row>
    <row r="542" spans="9:9">
      <c r="I542" s="1"/>
    </row>
    <row r="543" spans="9:9">
      <c r="I543" s="1"/>
    </row>
    <row r="544" spans="9:9">
      <c r="I544" s="1"/>
    </row>
    <row r="545" spans="9:9">
      <c r="I545" s="1"/>
    </row>
    <row r="546" spans="9:9">
      <c r="I546" s="1"/>
    </row>
    <row r="547" spans="9:9">
      <c r="I547" s="1"/>
    </row>
    <row r="548" spans="9:9">
      <c r="I548" s="1"/>
    </row>
    <row r="549" spans="9:9">
      <c r="I549" s="1"/>
    </row>
    <row r="550" spans="9:9">
      <c r="I550" s="1"/>
    </row>
    <row r="551" spans="9:9">
      <c r="I551" s="1"/>
    </row>
    <row r="552" spans="9:9">
      <c r="I552" s="1"/>
    </row>
    <row r="553" spans="9:9">
      <c r="I553" s="1"/>
    </row>
    <row r="554" spans="9:9">
      <c r="I554" s="1"/>
    </row>
    <row r="555" spans="9:9">
      <c r="I555" s="1"/>
    </row>
    <row r="556" spans="9:9">
      <c r="I556" s="1"/>
    </row>
    <row r="557" spans="9:9">
      <c r="I557" s="1"/>
    </row>
    <row r="558" spans="9:9">
      <c r="I558" s="1"/>
    </row>
    <row r="559" spans="9:9">
      <c r="I559" s="1"/>
    </row>
    <row r="560" spans="9:9">
      <c r="I560" s="1"/>
    </row>
    <row r="561" spans="9:9">
      <c r="I561" s="1"/>
    </row>
    <row r="562" spans="9:9">
      <c r="I562" s="1"/>
    </row>
    <row r="563" spans="9:9">
      <c r="I563" s="1"/>
    </row>
    <row r="564" spans="9:9">
      <c r="I564" s="1"/>
    </row>
    <row r="565" spans="9:9">
      <c r="I565" s="1"/>
    </row>
    <row r="566" spans="9:9">
      <c r="I566" s="1"/>
    </row>
    <row r="567" spans="9:9">
      <c r="I567" s="1"/>
    </row>
    <row r="568" spans="9:9">
      <c r="I568" s="1"/>
    </row>
    <row r="569" spans="9:9">
      <c r="I569" s="1"/>
    </row>
    <row r="570" spans="9:9">
      <c r="I570" s="1"/>
    </row>
    <row r="571" spans="9:9">
      <c r="I571" s="1"/>
    </row>
    <row r="572" spans="9:9">
      <c r="I572" s="1"/>
    </row>
    <row r="573" spans="9:9">
      <c r="I573" s="1"/>
    </row>
    <row r="574" spans="9:9">
      <c r="I574" s="1"/>
    </row>
    <row r="575" spans="9:9">
      <c r="I575" s="1"/>
    </row>
    <row r="576" spans="9:9">
      <c r="I576" s="1"/>
    </row>
    <row r="577" spans="9:9">
      <c r="I577" s="1"/>
    </row>
    <row r="578" spans="9:9">
      <c r="I578" s="1"/>
    </row>
    <row r="579" spans="9:9">
      <c r="I579" s="1"/>
    </row>
    <row r="580" spans="9:9">
      <c r="I580" s="1"/>
    </row>
    <row r="581" spans="9:9">
      <c r="I581" s="1"/>
    </row>
    <row r="582" spans="9:9">
      <c r="I582" s="1"/>
    </row>
    <row r="583" spans="9:9">
      <c r="I583" s="1"/>
    </row>
    <row r="584" spans="9:9">
      <c r="I584" s="1"/>
    </row>
    <row r="585" spans="9:9">
      <c r="I585" s="1"/>
    </row>
    <row r="586" spans="9:9">
      <c r="I586" s="1"/>
    </row>
    <row r="587" spans="9:9">
      <c r="I587" s="1"/>
    </row>
    <row r="588" spans="9:9">
      <c r="I588" s="1"/>
    </row>
    <row r="589" spans="9:9">
      <c r="I589" s="1"/>
    </row>
    <row r="590" spans="9:9">
      <c r="I590" s="1"/>
    </row>
    <row r="591" spans="9:9">
      <c r="I591" s="1"/>
    </row>
    <row r="592" spans="9:9">
      <c r="I592" s="1"/>
    </row>
    <row r="593" spans="9:9">
      <c r="I593" s="1"/>
    </row>
    <row r="594" spans="9:9">
      <c r="I594" s="1"/>
    </row>
    <row r="595" spans="9:9">
      <c r="I595" s="1"/>
    </row>
    <row r="596" spans="9:9">
      <c r="I596" s="1"/>
    </row>
    <row r="597" spans="9:9">
      <c r="I597" s="1"/>
    </row>
    <row r="598" spans="9:9">
      <c r="I598" s="1"/>
    </row>
    <row r="599" spans="9:9">
      <c r="I599" s="1"/>
    </row>
    <row r="600" spans="9:9">
      <c r="I600" s="1"/>
    </row>
    <row r="601" spans="9:9">
      <c r="I601" s="1"/>
    </row>
    <row r="602" spans="9:9">
      <c r="I602" s="1"/>
    </row>
    <row r="603" spans="9:9">
      <c r="I603" s="1"/>
    </row>
    <row r="604" spans="9:9">
      <c r="I604" s="1"/>
    </row>
    <row r="605" spans="9:9">
      <c r="I605" s="1"/>
    </row>
    <row r="606" spans="9:9">
      <c r="I606" s="1"/>
    </row>
    <row r="607" spans="9:9">
      <c r="I607" s="1"/>
    </row>
    <row r="608" spans="9:9">
      <c r="I608" s="1"/>
    </row>
    <row r="609" spans="9:9">
      <c r="I609" s="1"/>
    </row>
    <row r="610" spans="9:9">
      <c r="I610" s="1"/>
    </row>
    <row r="611" spans="9:9">
      <c r="I611" s="1"/>
    </row>
    <row r="612" spans="9:9">
      <c r="I612" s="1"/>
    </row>
    <row r="613" spans="9:9">
      <c r="I613" s="1"/>
    </row>
    <row r="614" spans="9:9">
      <c r="I614" s="1"/>
    </row>
    <row r="615" spans="9:9">
      <c r="I615" s="1"/>
    </row>
    <row r="616" spans="9:9">
      <c r="I616" s="1"/>
    </row>
    <row r="617" spans="9:9">
      <c r="I617" s="1"/>
    </row>
    <row r="618" spans="9:9">
      <c r="I618" s="1"/>
    </row>
    <row r="619" spans="9:9">
      <c r="I619" s="1"/>
    </row>
    <row r="620" spans="9:9">
      <c r="I620" s="1"/>
    </row>
    <row r="621" spans="9:9">
      <c r="I621" s="1"/>
    </row>
    <row r="622" spans="9:9">
      <c r="I622" s="1"/>
    </row>
    <row r="623" spans="9:9">
      <c r="I623" s="1"/>
    </row>
    <row r="624" spans="9:9">
      <c r="I624" s="1"/>
    </row>
    <row r="625" spans="9:9">
      <c r="I625" s="1"/>
    </row>
    <row r="626" spans="9:9">
      <c r="I626" s="1"/>
    </row>
    <row r="627" spans="9:9">
      <c r="I627" s="1"/>
    </row>
    <row r="628" spans="9:9">
      <c r="I628" s="1"/>
    </row>
    <row r="629" spans="9:9">
      <c r="I629" s="1"/>
    </row>
    <row r="630" spans="9:9">
      <c r="I630" s="1"/>
    </row>
    <row r="631" spans="9:9">
      <c r="I631" s="1"/>
    </row>
    <row r="632" spans="9:9">
      <c r="I632" s="1"/>
    </row>
    <row r="633" spans="9:9">
      <c r="I633" s="1"/>
    </row>
    <row r="634" spans="9:9">
      <c r="I634" s="1"/>
    </row>
    <row r="635" spans="9:9">
      <c r="I635" s="1"/>
    </row>
    <row r="636" spans="9:9">
      <c r="I636" s="1"/>
    </row>
    <row r="637" spans="9:9">
      <c r="I637" s="1"/>
    </row>
    <row r="638" spans="9:9">
      <c r="I638" s="1"/>
    </row>
    <row r="639" spans="9:9">
      <c r="I639" s="1"/>
    </row>
    <row r="640" spans="9:9">
      <c r="I640" s="1"/>
    </row>
    <row r="641" spans="9:9">
      <c r="I641" s="1"/>
    </row>
    <row r="642" spans="9:9">
      <c r="I642" s="1"/>
    </row>
    <row r="643" spans="9:9">
      <c r="I643" s="1"/>
    </row>
    <row r="644" spans="9:9">
      <c r="I644" s="1"/>
    </row>
    <row r="645" spans="9:9">
      <c r="I645" s="1"/>
    </row>
    <row r="646" spans="9:9">
      <c r="I646" s="1"/>
    </row>
    <row r="647" spans="9:9">
      <c r="I647" s="1"/>
    </row>
    <row r="648" spans="9:9">
      <c r="I648" s="1"/>
    </row>
    <row r="649" spans="9:9">
      <c r="I649" s="1"/>
    </row>
    <row r="650" spans="9:9">
      <c r="I650" s="1"/>
    </row>
    <row r="651" spans="9:9">
      <c r="I651" s="1"/>
    </row>
    <row r="652" spans="9:9">
      <c r="I652" s="1"/>
    </row>
    <row r="653" spans="9:9">
      <c r="I653" s="1"/>
    </row>
    <row r="654" spans="9:9">
      <c r="I654" s="1"/>
    </row>
    <row r="655" spans="9:9">
      <c r="I655" s="1"/>
    </row>
    <row r="656" spans="9:9">
      <c r="I656" s="1"/>
    </row>
    <row r="657" spans="9:9">
      <c r="I657" s="1"/>
    </row>
    <row r="658" spans="9:9">
      <c r="I658" s="1"/>
    </row>
    <row r="659" spans="9:9">
      <c r="I659" s="1"/>
    </row>
    <row r="660" spans="9:9">
      <c r="I660" s="1"/>
    </row>
    <row r="661" spans="9:9">
      <c r="I661" s="1"/>
    </row>
    <row r="662" spans="9:9">
      <c r="I662" s="1"/>
    </row>
    <row r="663" spans="9:9">
      <c r="I663" s="1"/>
    </row>
    <row r="664" spans="9:9">
      <c r="I664" s="1"/>
    </row>
    <row r="665" spans="9:9">
      <c r="I665" s="1"/>
    </row>
    <row r="666" spans="9:9">
      <c r="I666" s="1"/>
    </row>
    <row r="667" spans="9:9">
      <c r="I667" s="1"/>
    </row>
    <row r="668" spans="9:9">
      <c r="I668" s="1"/>
    </row>
    <row r="669" spans="9:9">
      <c r="I669" s="1"/>
    </row>
    <row r="670" spans="9:9">
      <c r="I670" s="1"/>
    </row>
    <row r="671" spans="9:9">
      <c r="I671" s="1"/>
    </row>
    <row r="672" spans="9:9">
      <c r="I672" s="1"/>
    </row>
    <row r="673" spans="9:9">
      <c r="I673" s="1"/>
    </row>
    <row r="674" spans="9:9">
      <c r="I674" s="1"/>
    </row>
    <row r="675" spans="9:9">
      <c r="I675" s="1"/>
    </row>
    <row r="676" spans="9:9">
      <c r="I676" s="1"/>
    </row>
    <row r="677" spans="9:9">
      <c r="I677" s="1"/>
    </row>
    <row r="678" spans="9:9">
      <c r="I678" s="1"/>
    </row>
    <row r="679" spans="9:9">
      <c r="I679" s="1"/>
    </row>
    <row r="680" spans="9:9">
      <c r="I680" s="1"/>
    </row>
    <row r="681" spans="9:9">
      <c r="I681" s="1"/>
    </row>
    <row r="682" spans="9:9">
      <c r="I682" s="1"/>
    </row>
    <row r="683" spans="9:9">
      <c r="I683" s="1"/>
    </row>
    <row r="684" spans="9:9">
      <c r="I684" s="1"/>
    </row>
    <row r="685" spans="9:9">
      <c r="I685" s="1"/>
    </row>
    <row r="686" spans="9:9">
      <c r="I686" s="1"/>
    </row>
    <row r="687" spans="9:9">
      <c r="I687" s="1"/>
    </row>
    <row r="688" spans="9:9">
      <c r="I688" s="1"/>
    </row>
    <row r="689" spans="9:9">
      <c r="I689" s="1"/>
    </row>
    <row r="690" spans="9:9">
      <c r="I690" s="1"/>
    </row>
    <row r="691" spans="9:9">
      <c r="I691" s="1"/>
    </row>
    <row r="692" spans="9:9">
      <c r="I692" s="1"/>
    </row>
    <row r="693" spans="9:9">
      <c r="I693" s="1"/>
    </row>
    <row r="694" spans="9:9">
      <c r="I694" s="1"/>
    </row>
    <row r="695" spans="9:9">
      <c r="I695" s="1"/>
    </row>
    <row r="696" spans="9:9">
      <c r="I696" s="1"/>
    </row>
    <row r="697" spans="9:9">
      <c r="I697" s="1"/>
    </row>
    <row r="698" spans="9:9">
      <c r="I698" s="1"/>
    </row>
    <row r="699" spans="9:9">
      <c r="I699" s="1"/>
    </row>
    <row r="700" spans="9:9">
      <c r="I700" s="1"/>
    </row>
    <row r="701" spans="9:9">
      <c r="I701" s="1"/>
    </row>
    <row r="702" spans="9:9">
      <c r="I702" s="1"/>
    </row>
    <row r="703" spans="9:9">
      <c r="I703" s="1"/>
    </row>
    <row r="704" spans="9:9">
      <c r="I704" s="1"/>
    </row>
    <row r="705" spans="9:9">
      <c r="I705" s="1"/>
    </row>
    <row r="706" spans="9:9">
      <c r="I706" s="1"/>
    </row>
    <row r="707" spans="9:9">
      <c r="I707" s="1"/>
    </row>
    <row r="708" spans="9:9">
      <c r="I708" s="1"/>
    </row>
    <row r="709" spans="9:9">
      <c r="I709" s="1"/>
    </row>
    <row r="710" spans="9:9">
      <c r="I710" s="1"/>
    </row>
    <row r="711" spans="9:9">
      <c r="I711" s="1"/>
    </row>
    <row r="712" spans="9:9">
      <c r="I712" s="1"/>
    </row>
    <row r="713" spans="9:9">
      <c r="I713" s="1"/>
    </row>
    <row r="714" spans="9:9">
      <c r="I714" s="1"/>
    </row>
    <row r="715" spans="9:9">
      <c r="I715" s="1"/>
    </row>
    <row r="716" spans="9:9">
      <c r="I716" s="1"/>
    </row>
    <row r="717" spans="9:9">
      <c r="I717" s="1"/>
    </row>
    <row r="718" spans="9:9">
      <c r="I718" s="1"/>
    </row>
    <row r="719" spans="9:9">
      <c r="I719" s="1"/>
    </row>
    <row r="720" spans="9:9">
      <c r="I720" s="1"/>
    </row>
    <row r="721" spans="9:9">
      <c r="I721" s="1"/>
    </row>
    <row r="722" spans="9:9">
      <c r="I722" s="1"/>
    </row>
    <row r="723" spans="9:9">
      <c r="I723" s="1"/>
    </row>
    <row r="724" spans="9:9">
      <c r="I724" s="1"/>
    </row>
    <row r="725" spans="9:9">
      <c r="I725" s="1"/>
    </row>
    <row r="726" spans="9:9">
      <c r="I726" s="1"/>
    </row>
    <row r="727" spans="9:9">
      <c r="I727" s="1"/>
    </row>
    <row r="728" spans="9:9">
      <c r="I728" s="1"/>
    </row>
    <row r="729" spans="9:9">
      <c r="I729" s="1"/>
    </row>
    <row r="730" spans="9:9">
      <c r="I730" s="1"/>
    </row>
    <row r="731" spans="9:9">
      <c r="I731" s="1"/>
    </row>
    <row r="732" spans="9:9">
      <c r="I732" s="1"/>
    </row>
    <row r="733" spans="9:9">
      <c r="I733" s="1"/>
    </row>
    <row r="734" spans="9:9">
      <c r="I734" s="1"/>
    </row>
    <row r="735" spans="9:9">
      <c r="I735" s="1"/>
    </row>
    <row r="736" spans="9:9">
      <c r="I736" s="1"/>
    </row>
    <row r="737" spans="9:9">
      <c r="I737" s="1"/>
    </row>
    <row r="738" spans="9:9">
      <c r="I738" s="1"/>
    </row>
    <row r="739" spans="9:9">
      <c r="I739" s="1"/>
    </row>
    <row r="740" spans="9:9">
      <c r="I740" s="1"/>
    </row>
    <row r="741" spans="9:9">
      <c r="I741" s="1"/>
    </row>
    <row r="742" spans="9:9">
      <c r="I742" s="1"/>
    </row>
    <row r="743" spans="9:9">
      <c r="I743" s="1"/>
    </row>
    <row r="744" spans="9:9">
      <c r="I744" s="1"/>
    </row>
    <row r="745" spans="9:9">
      <c r="I745" s="1"/>
    </row>
    <row r="746" spans="9:9">
      <c r="I746" s="1"/>
    </row>
    <row r="747" spans="9:9">
      <c r="I747" s="1"/>
    </row>
    <row r="748" spans="9:9">
      <c r="I748" s="1"/>
    </row>
    <row r="749" spans="9:9">
      <c r="I749" s="1"/>
    </row>
    <row r="750" spans="9:9">
      <c r="I750" s="1"/>
    </row>
    <row r="751" spans="9:9">
      <c r="I751" s="1"/>
    </row>
    <row r="752" spans="9:9">
      <c r="I752" s="1"/>
    </row>
    <row r="753" spans="9:9">
      <c r="I753" s="1"/>
    </row>
    <row r="754" spans="9:9">
      <c r="I754" s="1"/>
    </row>
    <row r="755" spans="9:9">
      <c r="I755" s="1"/>
    </row>
    <row r="756" spans="9:9">
      <c r="I756" s="1"/>
    </row>
    <row r="757" spans="9:9">
      <c r="I757" s="1"/>
    </row>
    <row r="758" spans="9:9">
      <c r="I758" s="1"/>
    </row>
    <row r="759" spans="9:9">
      <c r="I759" s="1"/>
    </row>
    <row r="760" spans="9:9">
      <c r="I760" s="1"/>
    </row>
    <row r="761" spans="9:9">
      <c r="I761" s="1"/>
    </row>
    <row r="762" spans="9:9">
      <c r="I762" s="1"/>
    </row>
    <row r="763" spans="9:9">
      <c r="I763" s="1"/>
    </row>
    <row r="764" spans="9:9">
      <c r="I764" s="1"/>
    </row>
    <row r="765" spans="9:9">
      <c r="I765" s="1"/>
    </row>
    <row r="766" spans="9:9">
      <c r="I766" s="1"/>
    </row>
    <row r="767" spans="9:9">
      <c r="I767" s="1"/>
    </row>
    <row r="768" spans="9:9">
      <c r="I768" s="1"/>
    </row>
    <row r="769" spans="9:9">
      <c r="I769" s="1"/>
    </row>
    <row r="770" spans="9:9">
      <c r="I770" s="1"/>
    </row>
    <row r="771" spans="9:9">
      <c r="I771" s="1"/>
    </row>
    <row r="772" spans="9:9">
      <c r="I772" s="1"/>
    </row>
    <row r="773" spans="9:9">
      <c r="I773" s="1"/>
    </row>
    <row r="774" spans="9:9">
      <c r="I774" s="1"/>
    </row>
    <row r="775" spans="9:9">
      <c r="I775" s="1"/>
    </row>
    <row r="776" spans="9:9">
      <c r="I776" s="1"/>
    </row>
    <row r="777" spans="9:9">
      <c r="I777" s="1"/>
    </row>
    <row r="778" spans="9:9">
      <c r="I778" s="1"/>
    </row>
    <row r="779" spans="9:9">
      <c r="I779" s="1"/>
    </row>
    <row r="780" spans="9:9">
      <c r="I780" s="1"/>
    </row>
    <row r="781" spans="9:9">
      <c r="I781" s="1"/>
    </row>
    <row r="782" spans="9:9">
      <c r="I782" s="1"/>
    </row>
    <row r="783" spans="9:9">
      <c r="I783" s="1"/>
    </row>
    <row r="784" spans="9:9">
      <c r="I784" s="1"/>
    </row>
    <row r="785" spans="9:9">
      <c r="I785" s="1"/>
    </row>
    <row r="786" spans="9:9">
      <c r="I786" s="1"/>
    </row>
    <row r="787" spans="9:9">
      <c r="I787" s="1"/>
    </row>
    <row r="788" spans="9:9">
      <c r="I788" s="1"/>
    </row>
    <row r="789" spans="9:9">
      <c r="I789" s="1"/>
    </row>
    <row r="790" spans="9:9">
      <c r="I790" s="1"/>
    </row>
    <row r="791" spans="9:9">
      <c r="I791" s="1"/>
    </row>
    <row r="792" spans="9:9">
      <c r="I792" s="1"/>
    </row>
    <row r="793" spans="9:9">
      <c r="I793" s="1"/>
    </row>
    <row r="794" spans="9:9">
      <c r="I794" s="1"/>
    </row>
    <row r="795" spans="9:9">
      <c r="I795" s="1"/>
    </row>
    <row r="796" spans="9:9">
      <c r="I796" s="1"/>
    </row>
    <row r="797" spans="9:9">
      <c r="I797" s="1"/>
    </row>
    <row r="798" spans="9:9">
      <c r="I798" s="1"/>
    </row>
    <row r="799" spans="9:9">
      <c r="I799" s="1"/>
    </row>
    <row r="800" spans="9:9">
      <c r="I800" s="1"/>
    </row>
    <row r="801" spans="9:9">
      <c r="I801" s="1"/>
    </row>
    <row r="802" spans="9:9">
      <c r="I802" s="1"/>
    </row>
    <row r="803" spans="9:9">
      <c r="I803" s="1"/>
    </row>
    <row r="804" spans="9:9">
      <c r="I804" s="1"/>
    </row>
    <row r="805" spans="9:9">
      <c r="I805" s="1"/>
    </row>
    <row r="806" spans="9:9">
      <c r="I806" s="1"/>
    </row>
    <row r="807" spans="9:9">
      <c r="I807" s="1"/>
    </row>
    <row r="808" spans="9:9">
      <c r="I808" s="1"/>
    </row>
    <row r="809" spans="9:9">
      <c r="I809" s="1"/>
    </row>
    <row r="810" spans="9:9">
      <c r="I810" s="1"/>
    </row>
    <row r="811" spans="9:9">
      <c r="I811" s="1"/>
    </row>
    <row r="812" spans="9:9">
      <c r="I812" s="1"/>
    </row>
    <row r="813" spans="9:9">
      <c r="I813" s="1"/>
    </row>
    <row r="814" spans="9:9">
      <c r="I814" s="1"/>
    </row>
    <row r="815" spans="9:9">
      <c r="I815" s="1"/>
    </row>
    <row r="816" spans="9:9">
      <c r="I816" s="1"/>
    </row>
    <row r="817" spans="9:9">
      <c r="I817" s="1"/>
    </row>
    <row r="818" spans="9:9">
      <c r="I818" s="1"/>
    </row>
    <row r="819" spans="9:9">
      <c r="I819" s="1"/>
    </row>
    <row r="820" spans="9:9">
      <c r="I820" s="1"/>
    </row>
    <row r="821" spans="9:9">
      <c r="I821" s="1"/>
    </row>
    <row r="822" spans="9:9">
      <c r="I822" s="1"/>
    </row>
    <row r="823" spans="9:9">
      <c r="I823" s="1"/>
    </row>
    <row r="824" spans="9:9">
      <c r="I824" s="1"/>
    </row>
    <row r="825" spans="9:9">
      <c r="I825" s="1"/>
    </row>
    <row r="826" spans="9:9">
      <c r="I826" s="1"/>
    </row>
    <row r="827" spans="9:9">
      <c r="I827" s="1"/>
    </row>
    <row r="828" spans="9:9">
      <c r="I828" s="1"/>
    </row>
    <row r="829" spans="9:9">
      <c r="I829" s="1"/>
    </row>
    <row r="830" spans="9:9">
      <c r="I830" s="1"/>
    </row>
    <row r="831" spans="9:9">
      <c r="I831" s="1"/>
    </row>
    <row r="832" spans="9:9">
      <c r="I832" s="1"/>
    </row>
    <row r="833" spans="9:9">
      <c r="I833" s="1"/>
    </row>
    <row r="834" spans="9:9">
      <c r="I834" s="1"/>
    </row>
    <row r="835" spans="9:9">
      <c r="I835" s="1"/>
    </row>
    <row r="836" spans="9:9">
      <c r="I836" s="1"/>
    </row>
    <row r="837" spans="9:9">
      <c r="I837" s="1"/>
    </row>
    <row r="838" spans="9:9">
      <c r="I838" s="1"/>
    </row>
    <row r="839" spans="9:9">
      <c r="I839" s="1"/>
    </row>
    <row r="840" spans="9:9">
      <c r="I840" s="1"/>
    </row>
    <row r="841" spans="9:9">
      <c r="I841" s="1"/>
    </row>
    <row r="842" spans="9:9">
      <c r="I842" s="1"/>
    </row>
    <row r="843" spans="9:9">
      <c r="I843" s="1"/>
    </row>
    <row r="844" spans="9:9">
      <c r="I844" s="1"/>
    </row>
    <row r="845" spans="9:9">
      <c r="I845" s="1"/>
    </row>
    <row r="846" spans="9:9">
      <c r="I846" s="1"/>
    </row>
    <row r="847" spans="9:9">
      <c r="I847" s="1"/>
    </row>
    <row r="848" spans="9:9">
      <c r="I848" s="1"/>
    </row>
    <row r="849" spans="9:9">
      <c r="I849" s="1"/>
    </row>
    <row r="850" spans="9:9">
      <c r="I850" s="1"/>
    </row>
    <row r="851" spans="9:9">
      <c r="I851" s="1"/>
    </row>
    <row r="852" spans="9:9">
      <c r="I852" s="1"/>
    </row>
    <row r="853" spans="9:9">
      <c r="I853" s="1"/>
    </row>
    <row r="854" spans="9:9">
      <c r="I854" s="1"/>
    </row>
    <row r="855" spans="9:9">
      <c r="I855" s="1"/>
    </row>
    <row r="856" spans="9:9">
      <c r="I856" s="1"/>
    </row>
    <row r="857" spans="9:9">
      <c r="I857" s="1"/>
    </row>
    <row r="858" spans="9:9">
      <c r="I858" s="1"/>
    </row>
    <row r="859" spans="9:9">
      <c r="I859" s="1"/>
    </row>
    <row r="860" spans="9:9">
      <c r="I860" s="1"/>
    </row>
    <row r="861" spans="9:9">
      <c r="I861" s="1"/>
    </row>
    <row r="862" spans="9:9">
      <c r="I862" s="1"/>
    </row>
    <row r="863" spans="9:9">
      <c r="I863" s="1"/>
    </row>
    <row r="864" spans="9:9">
      <c r="I864" s="1"/>
    </row>
    <row r="865" spans="9:9">
      <c r="I865" s="1"/>
    </row>
    <row r="866" spans="9:9">
      <c r="I866" s="1"/>
    </row>
    <row r="867" spans="9:9">
      <c r="I867" s="1"/>
    </row>
    <row r="868" spans="9:9">
      <c r="I868" s="1"/>
    </row>
    <row r="869" spans="9:9">
      <c r="I869" s="1"/>
    </row>
    <row r="870" spans="9:9">
      <c r="I870" s="1"/>
    </row>
    <row r="871" spans="9:9">
      <c r="I871" s="1"/>
    </row>
    <row r="872" spans="9:9">
      <c r="I872" s="1"/>
    </row>
    <row r="873" spans="9:9">
      <c r="I873" s="1"/>
    </row>
    <row r="874" spans="9:9">
      <c r="I874" s="1"/>
    </row>
    <row r="875" spans="9:9">
      <c r="I875" s="1"/>
    </row>
    <row r="876" spans="9:9">
      <c r="I876" s="1"/>
    </row>
    <row r="877" spans="9:9">
      <c r="I877" s="1"/>
    </row>
    <row r="878" spans="9:9">
      <c r="I878" s="1"/>
    </row>
    <row r="879" spans="9:9">
      <c r="I879" s="1"/>
    </row>
    <row r="880" spans="9:9">
      <c r="I880" s="1"/>
    </row>
    <row r="881" spans="9:9">
      <c r="I881" s="1"/>
    </row>
    <row r="882" spans="9:9">
      <c r="I882" s="1"/>
    </row>
    <row r="883" spans="9:9">
      <c r="I883" s="1"/>
    </row>
    <row r="884" spans="9:9">
      <c r="I884" s="1"/>
    </row>
    <row r="885" spans="9:9">
      <c r="I885" s="1"/>
    </row>
    <row r="886" spans="9:9">
      <c r="I886" s="1"/>
    </row>
    <row r="887" spans="9:9">
      <c r="I887" s="1"/>
    </row>
    <row r="888" spans="9:9">
      <c r="I888" s="1"/>
    </row>
    <row r="889" spans="9:9">
      <c r="I889" s="1"/>
    </row>
    <row r="890" spans="9:9">
      <c r="I890" s="1"/>
    </row>
    <row r="891" spans="9:9">
      <c r="I891" s="1"/>
    </row>
    <row r="892" spans="9:9">
      <c r="I892" s="1"/>
    </row>
    <row r="893" spans="9:9">
      <c r="I893" s="1"/>
    </row>
    <row r="894" spans="9:9">
      <c r="I894" s="1"/>
    </row>
    <row r="895" spans="9:9">
      <c r="I895" s="1"/>
    </row>
    <row r="896" spans="9:9">
      <c r="I896" s="1"/>
    </row>
    <row r="897" spans="9:9">
      <c r="I897" s="1"/>
    </row>
    <row r="898" spans="9:9">
      <c r="I898" s="1"/>
    </row>
    <row r="899" spans="9:9">
      <c r="I899" s="1"/>
    </row>
    <row r="900" spans="9:9">
      <c r="I900" s="1"/>
    </row>
    <row r="901" spans="9:9">
      <c r="I901" s="1"/>
    </row>
    <row r="902" spans="9:9">
      <c r="I902" s="1"/>
    </row>
    <row r="903" spans="9:9">
      <c r="I903" s="1"/>
    </row>
    <row r="904" spans="9:9">
      <c r="I904" s="1"/>
    </row>
    <row r="905" spans="9:9">
      <c r="I905" s="1"/>
    </row>
    <row r="906" spans="9:9">
      <c r="I906" s="1"/>
    </row>
    <row r="907" spans="9:9">
      <c r="I907" s="1"/>
    </row>
    <row r="908" spans="9:9">
      <c r="I908" s="1"/>
    </row>
    <row r="909" spans="9:9">
      <c r="I909" s="1"/>
    </row>
    <row r="910" spans="9:9">
      <c r="I910" s="1"/>
    </row>
    <row r="911" spans="9:9">
      <c r="I911" s="1"/>
    </row>
    <row r="912" spans="9:9">
      <c r="I912" s="1"/>
    </row>
    <row r="913" spans="9:9">
      <c r="I913" s="1"/>
    </row>
    <row r="914" spans="9:9">
      <c r="I914" s="1"/>
    </row>
    <row r="915" spans="9:9">
      <c r="I915" s="1"/>
    </row>
    <row r="916" spans="9:9">
      <c r="I916" s="1"/>
    </row>
    <row r="917" spans="9:9">
      <c r="I917" s="1"/>
    </row>
    <row r="918" spans="9:9">
      <c r="I918" s="1"/>
    </row>
    <row r="919" spans="9:9">
      <c r="I919" s="1"/>
    </row>
    <row r="920" spans="9:9">
      <c r="I920" s="1"/>
    </row>
    <row r="921" spans="9:9">
      <c r="I921" s="1"/>
    </row>
    <row r="922" spans="9:9">
      <c r="I922" s="1"/>
    </row>
    <row r="923" spans="9:9">
      <c r="I923" s="1"/>
    </row>
    <row r="924" spans="9:9">
      <c r="I924" s="1"/>
    </row>
    <row r="925" spans="9:9">
      <c r="I925" s="1"/>
    </row>
    <row r="926" spans="9:9">
      <c r="I926" s="1"/>
    </row>
    <row r="927" spans="9:9">
      <c r="I927" s="1"/>
    </row>
    <row r="928" spans="9:9">
      <c r="I928" s="1"/>
    </row>
    <row r="929" spans="9:9">
      <c r="I929" s="1"/>
    </row>
    <row r="930" spans="9:9">
      <c r="I930" s="1"/>
    </row>
  </sheetData>
  <mergeCells count="1">
    <mergeCell ref="D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 summary sheet</vt:lpstr>
      <vt:lpstr>Form1_Site</vt:lpstr>
      <vt:lpstr>Form2_Fish</vt:lpstr>
      <vt:lpstr>Form3_PHab</vt:lpstr>
      <vt:lpstr>Form4-WaterDischarge</vt:lpstr>
      <vt:lpstr>Sheet1</vt:lpstr>
    </vt:vector>
  </TitlesOfParts>
  <Company>ADFG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jrmaurer</dc:creator>
  <cp:lastModifiedBy>Walker, Coowe (DFG)</cp:lastModifiedBy>
  <cp:lastPrinted>2011-09-12T22:15:53Z</cp:lastPrinted>
  <dcterms:created xsi:type="dcterms:W3CDTF">2011-07-15T21:47:14Z</dcterms:created>
  <dcterms:modified xsi:type="dcterms:W3CDTF">2011-11-16T22:57:29Z</dcterms:modified>
</cp:coreProperties>
</file>